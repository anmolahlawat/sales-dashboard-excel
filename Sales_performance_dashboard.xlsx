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xr:revisionPtr revIDLastSave="0" documentId="8_{3D61B74E-F7B4-46F3-831C-43B094814FD0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alesData" sheetId="1" r:id="rId1"/>
    <sheet name="Pivot" sheetId="3" r:id="rId2"/>
    <sheet name="Dashboard" sheetId="2" r:id="rId3"/>
  </sheets>
  <calcPr calcId="191028"/>
  <pivotCaches>
    <pivotCache cacheId="1745" r:id="rId4"/>
    <pivotCache cacheId="174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A7" i="2"/>
  <c r="E7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N41" i="1" s="1"/>
  <c r="K42" i="1"/>
  <c r="N42" i="1" s="1"/>
  <c r="K43" i="1"/>
  <c r="N43" i="1" s="1"/>
  <c r="K44" i="1"/>
  <c r="N44" i="1" s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2" i="1"/>
  <c r="N52" i="1" s="1"/>
  <c r="K53" i="1"/>
  <c r="N53" i="1" s="1"/>
  <c r="K54" i="1"/>
  <c r="N54" i="1" s="1"/>
  <c r="K55" i="1"/>
  <c r="N55" i="1" s="1"/>
  <c r="K56" i="1"/>
  <c r="N56" i="1" s="1"/>
  <c r="K57" i="1"/>
  <c r="N57" i="1" s="1"/>
  <c r="K58" i="1"/>
  <c r="N58" i="1" s="1"/>
  <c r="K59" i="1"/>
  <c r="N59" i="1" s="1"/>
  <c r="K60" i="1"/>
  <c r="N60" i="1" s="1"/>
  <c r="K61" i="1"/>
  <c r="N61" i="1" s="1"/>
  <c r="K62" i="1"/>
  <c r="N62" i="1" s="1"/>
  <c r="K63" i="1"/>
  <c r="N63" i="1" s="1"/>
  <c r="K64" i="1"/>
  <c r="N64" i="1" s="1"/>
  <c r="K65" i="1"/>
  <c r="N65" i="1" s="1"/>
  <c r="K66" i="1"/>
  <c r="N66" i="1" s="1"/>
  <c r="K67" i="1"/>
  <c r="N67" i="1" s="1"/>
  <c r="K68" i="1"/>
  <c r="N68" i="1" s="1"/>
  <c r="K69" i="1"/>
  <c r="N69" i="1" s="1"/>
  <c r="K70" i="1"/>
  <c r="N70" i="1" s="1"/>
  <c r="K71" i="1"/>
  <c r="N71" i="1" s="1"/>
  <c r="K72" i="1"/>
  <c r="N72" i="1" s="1"/>
  <c r="K73" i="1"/>
  <c r="N73" i="1" s="1"/>
  <c r="K74" i="1"/>
  <c r="N74" i="1" s="1"/>
  <c r="K75" i="1"/>
  <c r="N75" i="1" s="1"/>
  <c r="K76" i="1"/>
  <c r="N76" i="1" s="1"/>
  <c r="K77" i="1"/>
  <c r="N77" i="1" s="1"/>
  <c r="K78" i="1"/>
  <c r="N78" i="1" s="1"/>
  <c r="K79" i="1"/>
  <c r="N79" i="1" s="1"/>
  <c r="K80" i="1"/>
  <c r="N80" i="1" s="1"/>
  <c r="K81" i="1"/>
  <c r="N81" i="1" s="1"/>
  <c r="K82" i="1"/>
  <c r="N82" i="1" s="1"/>
  <c r="K83" i="1"/>
  <c r="N83" i="1" s="1"/>
  <c r="K84" i="1"/>
  <c r="N84" i="1" s="1"/>
  <c r="K85" i="1"/>
  <c r="N85" i="1" s="1"/>
  <c r="K86" i="1"/>
  <c r="N86" i="1" s="1"/>
  <c r="K87" i="1"/>
  <c r="N87" i="1" s="1"/>
  <c r="K88" i="1"/>
  <c r="N88" i="1" s="1"/>
  <c r="K89" i="1"/>
  <c r="N89" i="1" s="1"/>
  <c r="K90" i="1"/>
  <c r="N90" i="1" s="1"/>
  <c r="K91" i="1"/>
  <c r="N91" i="1" s="1"/>
  <c r="K92" i="1"/>
  <c r="N92" i="1" s="1"/>
  <c r="K93" i="1"/>
  <c r="N93" i="1" s="1"/>
  <c r="K94" i="1"/>
  <c r="N94" i="1" s="1"/>
  <c r="K95" i="1"/>
  <c r="N95" i="1" s="1"/>
  <c r="K96" i="1"/>
  <c r="N96" i="1" s="1"/>
  <c r="K97" i="1"/>
  <c r="N97" i="1" s="1"/>
  <c r="K98" i="1"/>
  <c r="N98" i="1" s="1"/>
  <c r="K99" i="1"/>
  <c r="N99" i="1" s="1"/>
  <c r="K100" i="1"/>
  <c r="N100" i="1" s="1"/>
  <c r="K101" i="1"/>
  <c r="N101" i="1" s="1"/>
  <c r="K2" i="1"/>
  <c r="N2" i="1" s="1"/>
  <c r="O101" i="1" l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7" i="2" l="1"/>
  <c r="M3" i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43" i="1"/>
  <c r="P43" i="1" s="1"/>
  <c r="M44" i="1"/>
  <c r="P44" i="1" s="1"/>
  <c r="M45" i="1"/>
  <c r="P45" i="1" s="1"/>
  <c r="M46" i="1"/>
  <c r="P46" i="1" s="1"/>
  <c r="M47" i="1"/>
  <c r="P47" i="1" s="1"/>
  <c r="M48" i="1"/>
  <c r="P48" i="1" s="1"/>
  <c r="M49" i="1"/>
  <c r="P49" i="1" s="1"/>
  <c r="M50" i="1"/>
  <c r="P50" i="1" s="1"/>
  <c r="M51" i="1"/>
  <c r="P51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59" i="1"/>
  <c r="P59" i="1" s="1"/>
  <c r="M60" i="1"/>
  <c r="P60" i="1" s="1"/>
  <c r="M61" i="1"/>
  <c r="P61" i="1" s="1"/>
  <c r="M62" i="1"/>
  <c r="P62" i="1" s="1"/>
  <c r="M63" i="1"/>
  <c r="P63" i="1" s="1"/>
  <c r="M64" i="1"/>
  <c r="P64" i="1" s="1"/>
  <c r="M65" i="1"/>
  <c r="P65" i="1" s="1"/>
  <c r="M66" i="1"/>
  <c r="P66" i="1" s="1"/>
  <c r="M67" i="1"/>
  <c r="P67" i="1" s="1"/>
  <c r="M68" i="1"/>
  <c r="P68" i="1" s="1"/>
  <c r="M69" i="1"/>
  <c r="P69" i="1" s="1"/>
  <c r="M70" i="1"/>
  <c r="P70" i="1" s="1"/>
  <c r="M71" i="1"/>
  <c r="P71" i="1" s="1"/>
  <c r="M72" i="1"/>
  <c r="P72" i="1" s="1"/>
  <c r="M73" i="1"/>
  <c r="P73" i="1" s="1"/>
  <c r="M74" i="1"/>
  <c r="P74" i="1" s="1"/>
  <c r="M75" i="1"/>
  <c r="P75" i="1" s="1"/>
  <c r="M76" i="1"/>
  <c r="P76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6" i="1"/>
  <c r="P86" i="1" s="1"/>
  <c r="M87" i="1"/>
  <c r="P87" i="1" s="1"/>
  <c r="M88" i="1"/>
  <c r="P88" i="1" s="1"/>
  <c r="M89" i="1"/>
  <c r="P89" i="1" s="1"/>
  <c r="M90" i="1"/>
  <c r="P90" i="1" s="1"/>
  <c r="M91" i="1"/>
  <c r="P91" i="1" s="1"/>
  <c r="M92" i="1"/>
  <c r="P92" i="1" s="1"/>
  <c r="M93" i="1"/>
  <c r="P93" i="1" s="1"/>
  <c r="M94" i="1"/>
  <c r="P94" i="1" s="1"/>
  <c r="M95" i="1"/>
  <c r="P95" i="1" s="1"/>
  <c r="M96" i="1"/>
  <c r="P96" i="1" s="1"/>
  <c r="M97" i="1"/>
  <c r="P97" i="1" s="1"/>
  <c r="M98" i="1"/>
  <c r="P98" i="1" s="1"/>
  <c r="M99" i="1"/>
  <c r="P99" i="1" s="1"/>
  <c r="M100" i="1"/>
  <c r="P100" i="1" s="1"/>
  <c r="M101" i="1"/>
  <c r="P101" i="1" s="1"/>
  <c r="M2" i="1"/>
  <c r="P2" i="1" l="1"/>
  <c r="C7" i="2"/>
</calcChain>
</file>

<file path=xl/sharedStrings.xml><?xml version="1.0" encoding="utf-8"?>
<sst xmlns="http://schemas.openxmlformats.org/spreadsheetml/2006/main" count="568" uniqueCount="131">
  <si>
    <t>Order_ID</t>
  </si>
  <si>
    <t>Order_Date</t>
  </si>
  <si>
    <t>Month</t>
  </si>
  <si>
    <t>Region</t>
  </si>
  <si>
    <t>Salesperson</t>
  </si>
  <si>
    <t>Category</t>
  </si>
  <si>
    <t>Product</t>
  </si>
  <si>
    <t>Quantity</t>
  </si>
  <si>
    <t>Unit_Price</t>
  </si>
  <si>
    <t>Discount_%</t>
  </si>
  <si>
    <t>Revenue</t>
  </si>
  <si>
    <t>Cost</t>
  </si>
  <si>
    <t>Profit</t>
  </si>
  <si>
    <t>Discount Amount</t>
  </si>
  <si>
    <t>Final Sales</t>
  </si>
  <si>
    <t>proft %</t>
  </si>
  <si>
    <t>2026-02-27</t>
  </si>
  <si>
    <t>South</t>
  </si>
  <si>
    <t>Neha</t>
  </si>
  <si>
    <t>Office Supplies</t>
  </si>
  <si>
    <t>Notebook</t>
  </si>
  <si>
    <t>2026-01-08</t>
  </si>
  <si>
    <t>North</t>
  </si>
  <si>
    <t>Riya</t>
  </si>
  <si>
    <t>Electronics</t>
  </si>
  <si>
    <t>Laptop</t>
  </si>
  <si>
    <t>2026-02-26</t>
  </si>
  <si>
    <t>West</t>
  </si>
  <si>
    <t>Karan</t>
  </si>
  <si>
    <t>2026-03-29</t>
  </si>
  <si>
    <t>East</t>
  </si>
  <si>
    <t>Furniture</t>
  </si>
  <si>
    <t>Chair</t>
  </si>
  <si>
    <t>2026-01-25</t>
  </si>
  <si>
    <t>Arjun</t>
  </si>
  <si>
    <t>Keyboard</t>
  </si>
  <si>
    <t>2026-05-18</t>
  </si>
  <si>
    <t>Priya</t>
  </si>
  <si>
    <t>Marker</t>
  </si>
  <si>
    <t>2026-01-18</t>
  </si>
  <si>
    <t>2026-04-08</t>
  </si>
  <si>
    <t>2026-02-23</t>
  </si>
  <si>
    <t>2026-02-11</t>
  </si>
  <si>
    <t>2026-02-28</t>
  </si>
  <si>
    <t>Desk</t>
  </si>
  <si>
    <t>2026-02-24</t>
  </si>
  <si>
    <t>Cabinet</t>
  </si>
  <si>
    <t>2026-03-05</t>
  </si>
  <si>
    <t>Stapler</t>
  </si>
  <si>
    <t>2026-02-09</t>
  </si>
  <si>
    <t>2026-05-16</t>
  </si>
  <si>
    <t>2026-01-29</t>
  </si>
  <si>
    <t>2026-05-10</t>
  </si>
  <si>
    <t>Monitor</t>
  </si>
  <si>
    <t>2026-05-19</t>
  </si>
  <si>
    <t>2026-03-20</t>
  </si>
  <si>
    <t>Anmol</t>
  </si>
  <si>
    <t>Table</t>
  </si>
  <si>
    <t>2026-05-17</t>
  </si>
  <si>
    <t>2026-06-21</t>
  </si>
  <si>
    <t>Pen</t>
  </si>
  <si>
    <t>2026-01-17</t>
  </si>
  <si>
    <t>2026-01-19</t>
  </si>
  <si>
    <t>2026-05-12</t>
  </si>
  <si>
    <t>2026-03-04</t>
  </si>
  <si>
    <t>2026-04-19</t>
  </si>
  <si>
    <t>2026-04-14</t>
  </si>
  <si>
    <t>Mouse</t>
  </si>
  <si>
    <t>2026-05-21</t>
  </si>
  <si>
    <t>2026-04-15</t>
  </si>
  <si>
    <t>2026-01-15</t>
  </si>
  <si>
    <t>2026-06-08</t>
  </si>
  <si>
    <t>2026-03-22</t>
  </si>
  <si>
    <t>2026-02-03</t>
  </si>
  <si>
    <t>2026-05-20</t>
  </si>
  <si>
    <t>2026-02-04</t>
  </si>
  <si>
    <t>2026-01-14</t>
  </si>
  <si>
    <t>2026-04-21</t>
  </si>
  <si>
    <t>2026-03-02</t>
  </si>
  <si>
    <t>2026-01-07</t>
  </si>
  <si>
    <t>2026-03-31</t>
  </si>
  <si>
    <t>2026-02-15</t>
  </si>
  <si>
    <t>2026-06-05</t>
  </si>
  <si>
    <t>2026-01-01</t>
  </si>
  <si>
    <t>2026-06-19</t>
  </si>
  <si>
    <t>2026-06-07</t>
  </si>
  <si>
    <t>2026-02-13</t>
  </si>
  <si>
    <t>2026-04-27</t>
  </si>
  <si>
    <t>2026-04-13</t>
  </si>
  <si>
    <t>2026-06-13</t>
  </si>
  <si>
    <t>2026-03-15</t>
  </si>
  <si>
    <t>2026-02-08</t>
  </si>
  <si>
    <t>2026-04-17</t>
  </si>
  <si>
    <t>2026-04-18</t>
  </si>
  <si>
    <t>2026-01-02</t>
  </si>
  <si>
    <t>2026-02-12</t>
  </si>
  <si>
    <t>2026-01-22</t>
  </si>
  <si>
    <t>2026-03-25</t>
  </si>
  <si>
    <t>2026-06-09</t>
  </si>
  <si>
    <t>2026-04-30</t>
  </si>
  <si>
    <t>2026-01-28</t>
  </si>
  <si>
    <t>2026-06-01</t>
  </si>
  <si>
    <t>2026-03-30</t>
  </si>
  <si>
    <t>2026-04-22</t>
  </si>
  <si>
    <t>2026-04-29</t>
  </si>
  <si>
    <t>2026-05-05</t>
  </si>
  <si>
    <t>2026-05-13</t>
  </si>
  <si>
    <t>2026-06-15</t>
  </si>
  <si>
    <t>2026-06-27</t>
  </si>
  <si>
    <t>2026-03-01</t>
  </si>
  <si>
    <t>2026-02-25</t>
  </si>
  <si>
    <t>2026-01-12</t>
  </si>
  <si>
    <t>2026-01-04</t>
  </si>
  <si>
    <t>2026-03-06</t>
  </si>
  <si>
    <t>Sum of Final Sales</t>
  </si>
  <si>
    <t>Sum of Profit</t>
  </si>
  <si>
    <t>Jan</t>
  </si>
  <si>
    <t>Feb</t>
  </si>
  <si>
    <t>Mar</t>
  </si>
  <si>
    <t>Apr</t>
  </si>
  <si>
    <t>Grand Total</t>
  </si>
  <si>
    <t>May</t>
  </si>
  <si>
    <t>Jun</t>
  </si>
  <si>
    <t>(blank)</t>
  </si>
  <si>
    <t>EXCEL SALES &amp; PERFORMANCE DASHBOARD</t>
  </si>
  <si>
    <t>Management Overview | 2024–2026</t>
  </si>
  <si>
    <t>Total Revenue</t>
  </si>
  <si>
    <t>Total Profit</t>
  </si>
  <si>
    <t>Total Orders</t>
  </si>
  <si>
    <t>Avg Order Values</t>
  </si>
  <si>
    <t>Avg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</si>
</sst>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B0F0"/>
      <name val="Cambria"/>
      <scheme val="major"/>
    </font>
    <font>
      <sz val="11"/>
      <color theme="0" tint="-0.34998626667073579"/>
      <name val="Calibri"/>
      <family val="2"/>
      <scheme val="minor"/>
    </font>
    <font>
      <sz val="24"/>
      <color theme="8"/>
      <name val="Calibri"/>
      <family val="2"/>
      <scheme val="minor"/>
    </font>
    <font>
      <b/>
      <sz val="24"/>
      <color rgb="FF4BACC6"/>
      <name val="Cambria"/>
      <scheme val="major"/>
    </font>
    <font>
      <b/>
      <sz val="24"/>
      <color theme="1" tint="4.9989318521683403E-2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24"/>
      <color theme="0" tint="-0.249977111117893"/>
      <name val="Calibri"/>
      <family val="2"/>
      <scheme val="minor"/>
    </font>
    <font>
      <b/>
      <sz val="16"/>
      <color rgb="FF262626"/>
      <name val="Calibri"/>
      <scheme val="minor"/>
    </font>
    <font>
      <b/>
      <sz val="16"/>
      <color rgb="FF262626"/>
      <name val="Calibri"/>
    </font>
    <font>
      <b/>
      <sz val="16"/>
      <color theme="1" tint="0.14999847407452621"/>
      <name val="Calibri"/>
      <family val="2"/>
      <scheme val="minor"/>
    </font>
    <font>
      <sz val="24"/>
      <color theme="7" tint="-0.249977111117893"/>
      <name val="Calibri"/>
      <family val="2"/>
      <scheme val="minor"/>
    </font>
    <font>
      <b/>
      <sz val="16"/>
      <color rgb="FFBFBFB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B77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9" fontId="8" fillId="8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9" defaultPivotStyle="PivotStyleLight16"/>
  <colors>
    <mruColors>
      <color rgb="FFFFB778"/>
      <color rgb="FFFF00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[Excel_Sales_Dataset_100_Rows 2.xlsx]Pivot!PivotTable1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Pivot!$B$3:$B$10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(blank)</c:v>
                </c:pt>
              </c:strCache>
            </c:strRef>
          </c:cat>
          <c:val>
            <c:numRef>
              <c:f>Pivot!$C$3:$C$10</c:f>
              <c:numCache>
                <c:formatCode>General</c:formatCode>
                <c:ptCount val="7"/>
                <c:pt idx="0">
                  <c:v>537890</c:v>
                </c:pt>
                <c:pt idx="1">
                  <c:v>198992.5</c:v>
                </c:pt>
                <c:pt idx="2">
                  <c:v>157450</c:v>
                </c:pt>
                <c:pt idx="3">
                  <c:v>629467.5</c:v>
                </c:pt>
                <c:pt idx="4">
                  <c:v>296672.5</c:v>
                </c:pt>
                <c:pt idx="5">
                  <c:v>134825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4B1-A82C-B01DB665AF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8066695"/>
        <c:axId val="1678068743"/>
      </c:lineChart>
      <c:catAx>
        <c:axId val="167806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68743"/>
        <c:crosses val="autoZero"/>
        <c:auto val="1"/>
        <c:lblAlgn val="ctr"/>
        <c:lblOffset val="100"/>
        <c:noMultiLvlLbl val="0"/>
      </c:catAx>
      <c:valAx>
        <c:axId val="167806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66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[Excel_Sales_Dataset_100_Rows 2.xlsx]Pivot!PivotTable2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Pivot!$E$5:$E$6</c:f>
              <c:strCache>
                <c:ptCount val="1"/>
                <c:pt idx="0">
                  <c:v>Furniture</c:v>
                </c:pt>
              </c:strCache>
            </c:strRef>
          </c:cat>
          <c:val>
            <c:numRef>
              <c:f>Pivot!$F$5:$F$6</c:f>
              <c:numCache>
                <c:formatCode>"$"#,##0.00</c:formatCode>
                <c:ptCount val="1"/>
                <c:pt idx="0">
                  <c:v>199265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2-426B-9EE2-43F97DF5E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64008"/>
        <c:axId val="1796482567"/>
      </c:barChart>
      <c:catAx>
        <c:axId val="6726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482567"/>
        <c:crosses val="autoZero"/>
        <c:auto val="1"/>
        <c:lblAlgn val="ctr"/>
        <c:lblOffset val="100"/>
        <c:noMultiLvlLbl val="0"/>
      </c:catAx>
      <c:valAx>
        <c:axId val="179648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[Excel_Sales_Dataset_100_Rows 2.xlsx]Pivot!PivotTable3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Pivot!$E$13:$E$17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Pivot!$F$13:$F$17</c:f>
              <c:numCache>
                <c:formatCode>"$"#,##0.00</c:formatCode>
                <c:ptCount val="4"/>
                <c:pt idx="0">
                  <c:v>586827.5</c:v>
                </c:pt>
                <c:pt idx="1">
                  <c:v>345482.5</c:v>
                </c:pt>
                <c:pt idx="2">
                  <c:v>617795</c:v>
                </c:pt>
                <c:pt idx="3">
                  <c:v>405192.5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1-48CF-BBF0-572D1CAD0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687485447"/>
        <c:axId val="1687479303"/>
      </c:barChart>
      <c:catAx>
        <c:axId val="1687485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9303"/>
        <c:crosses val="autoZero"/>
        <c:auto val="1"/>
        <c:lblAlgn val="ctr"/>
        <c:lblOffset val="100"/>
        <c:noMultiLvlLbl val="0"/>
      </c:catAx>
      <c:valAx>
        <c:axId val="168747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85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[Excel_Sales_Dataset_100_Rows 2.xlsx]Pivot!PivotTable4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Pivot!$B$14:$B$20</c:f>
              <c:strCache>
                <c:ptCount val="6"/>
                <c:pt idx="0">
                  <c:v>Anmol</c:v>
                </c:pt>
                <c:pt idx="1">
                  <c:v>Arjun</c:v>
                </c:pt>
                <c:pt idx="2">
                  <c:v>Karan</c:v>
                </c:pt>
                <c:pt idx="3">
                  <c:v>Neha</c:v>
                </c:pt>
                <c:pt idx="4">
                  <c:v>Priya</c:v>
                </c:pt>
                <c:pt idx="5">
                  <c:v>Riya</c:v>
                </c:pt>
              </c:strCache>
            </c:strRef>
          </c:cat>
          <c:val>
            <c:numRef>
              <c:f>Pivot!$C$14:$C$20</c:f>
              <c:numCache>
                <c:formatCode>"$"#,##0.00</c:formatCode>
                <c:ptCount val="6"/>
                <c:pt idx="0">
                  <c:v>47742.5</c:v>
                </c:pt>
                <c:pt idx="1">
                  <c:v>143195</c:v>
                </c:pt>
                <c:pt idx="2">
                  <c:v>49460</c:v>
                </c:pt>
                <c:pt idx="3">
                  <c:v>128120</c:v>
                </c:pt>
                <c:pt idx="4">
                  <c:v>83080</c:v>
                </c:pt>
                <c:pt idx="5">
                  <c:v>130932.5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C-4356-94FD-EA77CCD6F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49320"/>
        <c:axId val="40138248"/>
      </c:barChart>
      <c:catAx>
        <c:axId val="3994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8248"/>
        <c:crosses val="autoZero"/>
        <c:auto val="1"/>
        <c:lblAlgn val="ctr"/>
        <c:lblOffset val="100"/>
        <c:noMultiLvlLbl val="0"/>
      </c:catAx>
      <c:valAx>
        <c:axId val="4013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[Excel_Sales_Dataset_100_Rows 2.xlsx]Pivot!PivotTable7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by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 w="2540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 w="25400">
              <a:solidFill>
                <a:srgbClr val="000000"/>
              </a:solidFill>
              <a:prstDash val="solid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Pivot!$H$3:$H$15</c:f>
              <c:strCache>
                <c:ptCount val="12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Marker</c:v>
                </c:pt>
                <c:pt idx="6">
                  <c:v>Monitor</c:v>
                </c:pt>
                <c:pt idx="7">
                  <c:v>Mouse</c:v>
                </c:pt>
                <c:pt idx="8">
                  <c:v>Notebook</c:v>
                </c:pt>
                <c:pt idx="9">
                  <c:v>Pen</c:v>
                </c:pt>
                <c:pt idx="10">
                  <c:v>Stapler</c:v>
                </c:pt>
                <c:pt idx="11">
                  <c:v>Table</c:v>
                </c:pt>
              </c:strCache>
            </c:strRef>
          </c:cat>
          <c:val>
            <c:numRef>
              <c:f>Pivot!$I$3:$I$15</c:f>
              <c:numCache>
                <c:formatCode>"$"#,##0.00</c:formatCode>
                <c:ptCount val="12"/>
                <c:pt idx="0">
                  <c:v>78060</c:v>
                </c:pt>
                <c:pt idx="1">
                  <c:v>31082.5</c:v>
                </c:pt>
                <c:pt idx="2">
                  <c:v>80090</c:v>
                </c:pt>
                <c:pt idx="3">
                  <c:v>31460</c:v>
                </c:pt>
                <c:pt idx="4">
                  <c:v>94820</c:v>
                </c:pt>
                <c:pt idx="5">
                  <c:v>95952.5</c:v>
                </c:pt>
                <c:pt idx="6">
                  <c:v>17900</c:v>
                </c:pt>
                <c:pt idx="7">
                  <c:v>26700</c:v>
                </c:pt>
                <c:pt idx="8">
                  <c:v>50722.5</c:v>
                </c:pt>
                <c:pt idx="9">
                  <c:v>21190</c:v>
                </c:pt>
                <c:pt idx="10">
                  <c:v>44520</c:v>
                </c:pt>
                <c:pt idx="11">
                  <c:v>10032.5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046-A048-BF1BD98C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642248"/>
        <c:axId val="2109644296"/>
      </c:areaChart>
      <c:catAx>
        <c:axId val="2109642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44296"/>
        <c:crosses val="autoZero"/>
        <c:auto val="1"/>
        <c:lblAlgn val="ctr"/>
        <c:lblOffset val="100"/>
        <c:noMultiLvlLbl val="0"/>
      </c:catAx>
      <c:valAx>
        <c:axId val="21096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4224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219075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8A840-8515-4277-B601-29419ACBC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9</xdr:col>
      <xdr:colOff>600075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AED16-842A-48F0-B260-D667FA91FD1E}"/>
            </a:ext>
            <a:ext uri="{147F2762-F138-4A5C-976F-8EAC2B608ADB}">
              <a16:predDERef xmlns:a16="http://schemas.microsoft.com/office/drawing/2014/main" pred="{FE58A840-8515-4277-B601-29419ACBC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76200</xdr:rowOff>
    </xdr:from>
    <xdr:to>
      <xdr:col>5</xdr:col>
      <xdr:colOff>9525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CBCF4-F642-4558-9A04-844F59F458A9}"/>
            </a:ext>
            <a:ext uri="{147F2762-F138-4A5C-976F-8EAC2B608ADB}">
              <a16:predDERef xmlns:a16="http://schemas.microsoft.com/office/drawing/2014/main" pred="{DD8AED16-842A-48F0-B260-D667FA91F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847725</xdr:colOff>
      <xdr:row>22</xdr:row>
      <xdr:rowOff>76200</xdr:rowOff>
    </xdr:from>
    <xdr:to>
      <xdr:col>10</xdr:col>
      <xdr:colOff>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DF11FF-20D6-440B-83EA-06FCC557A698}"/>
            </a:ext>
            <a:ext uri="{147F2762-F138-4A5C-976F-8EAC2B608ADB}">
              <a16:predDERef xmlns:a16="http://schemas.microsoft.com/office/drawing/2014/main" pred="{A2FCBCF4-F642-4558-9A04-844F59F45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95250</xdr:rowOff>
    </xdr:from>
    <xdr:to>
      <xdr:col>10</xdr:col>
      <xdr:colOff>9525</xdr:colOff>
      <xdr:row>49</xdr:row>
      <xdr:rowOff>104775</xdr:rowOff>
    </xdr:to>
    <xdr:graphicFrame macro="">
      <xdr:nvGraphicFramePr>
        <xdr:cNvPr id="6" name="Chart 5" descr="Chart type: Area. 'Profit' by 'Product'&#10;&#10;Description automatically generated">
          <a:extLst>
            <a:ext uri="{FF2B5EF4-FFF2-40B4-BE49-F238E27FC236}">
              <a16:creationId xmlns:a16="http://schemas.microsoft.com/office/drawing/2014/main" id="{9B473D44-A12F-4E94-A742-BAE4BF8F9093}"/>
            </a:ext>
            <a:ext uri="{147F2762-F138-4A5C-976F-8EAC2B608ADB}">
              <a16:predDERef xmlns:a16="http://schemas.microsoft.com/office/drawing/2014/main" pred="{A8DF11FF-20D6-440B-83EA-06FCC557A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637028356483" createdVersion="8" refreshedVersion="8" minRefreshableVersion="3" recordCount="101" xr:uid="{320998E4-2E83-4757-A3E4-884B76F09273}">
  <cacheSource type="worksheet">
    <worksheetSource ref="A1:P1048576" sheet="SalesData"/>
  </cacheSource>
  <cacheFields count="16">
    <cacheField name="Order_ID" numFmtId="0">
      <sharedItems containsString="0" containsBlank="1" containsNumber="1" containsInteger="1" minValue="1" maxValue="100"/>
    </cacheField>
    <cacheField name="Order_Date" numFmtId="14">
      <sharedItems containsBlank="1"/>
    </cacheField>
    <cacheField name="Month" numFmtId="14">
      <sharedItems containsBlank="1" count="7">
        <s v="Feb"/>
        <s v="Jan"/>
        <s v="Mar"/>
        <s v="May"/>
        <s v="Apr"/>
        <s v="Jun"/>
        <m/>
      </sharedItems>
    </cacheField>
    <cacheField name="Region" numFmtId="0">
      <sharedItems containsBlank="1"/>
    </cacheField>
    <cacheField name="Salesperson" numFmtId="0">
      <sharedItems containsBlank="1"/>
    </cacheField>
    <cacheField name="Category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15"/>
    </cacheField>
    <cacheField name="Unit_Price" numFmtId="164">
      <sharedItems containsString="0" containsBlank="1" containsNumber="1" containsInteger="1" minValue="150" maxValue="12000"/>
    </cacheField>
    <cacheField name="Discount_%" numFmtId="1">
      <sharedItems containsString="0" containsBlank="1" containsNumber="1" containsInteger="1" minValue="0" maxValue="15"/>
    </cacheField>
    <cacheField name="Revenue" numFmtId="164">
      <sharedItems containsString="0" containsBlank="1" containsNumber="1" containsInteger="1" minValue="150" maxValue="156000"/>
    </cacheField>
    <cacheField name="Cost" numFmtId="164">
      <sharedItems containsString="0" containsBlank="1" containsNumber="1" minValue="97.5" maxValue="101400"/>
    </cacheField>
    <cacheField name="Profit" numFmtId="164">
      <sharedItems containsString="0" containsBlank="1" containsNumber="1" minValue="37.5" maxValue="46200"/>
    </cacheField>
    <cacheField name="Discount Amount" numFmtId="164">
      <sharedItems containsString="0" containsBlank="1" containsNumber="1" minValue="0" maxValue="23400"/>
    </cacheField>
    <cacheField name="Final Sales" numFmtId="164">
      <sharedItems containsString="0" containsBlank="1" containsNumber="1" minValue="135" maxValue="132600"/>
    </cacheField>
    <cacheField name="proft %" numFmtId="10">
      <sharedItems containsString="0" containsBlank="1" containsNumber="1" minValue="0.23529411764705882" maxValue="0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637734606484" createdVersion="8" refreshedVersion="8" minRefreshableVersion="3" recordCount="100" xr:uid="{34E25880-979E-4CD1-B11E-677238035E69}">
  <cacheSource type="worksheet">
    <worksheetSource name="Table1"/>
  </cacheSource>
  <cacheFields count="16">
    <cacheField name="Order_ID" numFmtId="0">
      <sharedItems containsSemiMixedTypes="0" containsString="0" containsNumber="1" containsInteger="1" minValue="1" maxValue="100"/>
    </cacheField>
    <cacheField name="Order_Date" numFmtId="14">
      <sharedItems/>
    </cacheField>
    <cacheField name="Month" numFmtId="14">
      <sharedItems count="6">
        <s v="Feb"/>
        <s v="Jan"/>
        <s v="Mar"/>
        <s v="May"/>
        <s v="Apr"/>
        <s v="Jun"/>
      </sharedItems>
    </cacheField>
    <cacheField name="Region" numFmtId="0">
      <sharedItems count="4">
        <s v="South"/>
        <s v="North"/>
        <s v="West"/>
        <s v="East"/>
      </sharedItems>
    </cacheField>
    <cacheField name="Salesperson" numFmtId="0">
      <sharedItems count="6">
        <s v="Neha"/>
        <s v="Riya"/>
        <s v="Karan"/>
        <s v="Arjun"/>
        <s v="Priya"/>
        <s v="Anmol"/>
      </sharedItems>
    </cacheField>
    <cacheField name="Category" numFmtId="0">
      <sharedItems count="3">
        <s v="Office Supplies"/>
        <s v="Electronics"/>
        <s v="Furniture"/>
      </sharedItems>
    </cacheField>
    <cacheField name="Product" numFmtId="0">
      <sharedItems count="12">
        <s v="Notebook"/>
        <s v="Laptop"/>
        <s v="Chair"/>
        <s v="Keyboard"/>
        <s v="Marker"/>
        <s v="Desk"/>
        <s v="Cabinet"/>
        <s v="Stapler"/>
        <s v="Monitor"/>
        <s v="Table"/>
        <s v="Pen"/>
        <s v="Mouse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164">
      <sharedItems containsSemiMixedTypes="0" containsString="0" containsNumber="1" containsInteger="1" minValue="150" maxValue="12000"/>
    </cacheField>
    <cacheField name="Discount_%" numFmtId="1">
      <sharedItems containsSemiMixedTypes="0" containsString="0" containsNumber="1" containsInteger="1" minValue="0" maxValue="15"/>
    </cacheField>
    <cacheField name="Revenue" numFmtId="164">
      <sharedItems containsSemiMixedTypes="0" containsString="0" containsNumber="1" containsInteger="1" minValue="150" maxValue="156000"/>
    </cacheField>
    <cacheField name="Cost" numFmtId="164">
      <sharedItems containsSemiMixedTypes="0" containsString="0" containsNumber="1" minValue="97.5" maxValue="101400"/>
    </cacheField>
    <cacheField name="Profit" numFmtId="164">
      <sharedItems containsSemiMixedTypes="0" containsString="0" containsNumber="1" minValue="37.5" maxValue="46200"/>
    </cacheField>
    <cacheField name="Discount Amount" numFmtId="164">
      <sharedItems containsSemiMixedTypes="0" containsString="0" containsNumber="1" minValue="0" maxValue="23400"/>
    </cacheField>
    <cacheField name="Final Sales" numFmtId="164">
      <sharedItems containsSemiMixedTypes="0" containsString="0" containsNumber="1" minValue="135" maxValue="132600"/>
    </cacheField>
    <cacheField name="proft %" numFmtId="10">
      <sharedItems containsSemiMixedTypes="0" containsString="0" containsNumber="1" minValue="0.23529411764705882" maxValue="0.35"/>
    </cacheField>
  </cacheFields>
  <extLst>
    <ext xmlns:x14="http://schemas.microsoft.com/office/spreadsheetml/2009/9/main" uri="{725AE2AE-9491-48be-B2B4-4EB974FC3084}">
      <x14:pivotCacheDefinition pivotCacheId="20757274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s v="2026-02-27"/>
    <x v="0"/>
    <s v="South"/>
    <s v="Neha"/>
    <s v="Office Supplies"/>
    <s v="Notebook"/>
    <n v="1"/>
    <n v="1200"/>
    <n v="5"/>
    <n v="1200"/>
    <n v="780"/>
    <n v="360"/>
    <n v="60"/>
    <n v="1140"/>
    <n v="0.31578947368421051"/>
  </r>
  <r>
    <n v="2"/>
    <s v="2026-01-08"/>
    <x v="1"/>
    <s v="North"/>
    <s v="Riya"/>
    <s v="Electronics"/>
    <s v="Laptop"/>
    <n v="10"/>
    <n v="5000"/>
    <n v="0"/>
    <n v="50000"/>
    <n v="32500"/>
    <n v="17500"/>
    <n v="0"/>
    <n v="50000"/>
    <n v="0.35"/>
  </r>
  <r>
    <n v="3"/>
    <s v="2026-02-26"/>
    <x v="0"/>
    <s v="West"/>
    <s v="Karan"/>
    <s v="Electronics"/>
    <s v="Laptop"/>
    <n v="9"/>
    <n v="800"/>
    <n v="15"/>
    <n v="7200"/>
    <n v="4680"/>
    <n v="1440"/>
    <n v="1080"/>
    <n v="6120"/>
    <n v="0.23529411764705882"/>
  </r>
  <r>
    <n v="4"/>
    <s v="2026-03-29"/>
    <x v="2"/>
    <s v="East"/>
    <s v="Riya"/>
    <s v="Furniture"/>
    <s v="Chair"/>
    <n v="13"/>
    <n v="500"/>
    <n v="15"/>
    <n v="6500"/>
    <n v="4225"/>
    <n v="1300"/>
    <n v="975"/>
    <n v="5525"/>
    <n v="0.23529411764705882"/>
  </r>
  <r>
    <n v="5"/>
    <s v="2026-01-25"/>
    <x v="1"/>
    <s v="East"/>
    <s v="Arjun"/>
    <s v="Electronics"/>
    <s v="Keyboard"/>
    <n v="2"/>
    <n v="250"/>
    <n v="15"/>
    <n v="500"/>
    <n v="325"/>
    <n v="100"/>
    <n v="75"/>
    <n v="425"/>
    <n v="0.23529411764705882"/>
  </r>
  <r>
    <n v="6"/>
    <s v="2026-05-18"/>
    <x v="3"/>
    <s v="North"/>
    <s v="Priya"/>
    <s v="Office Supplies"/>
    <s v="Marker"/>
    <n v="13"/>
    <n v="150"/>
    <n v="15"/>
    <n v="1950"/>
    <n v="1267.5"/>
    <n v="390"/>
    <n v="292.5"/>
    <n v="1657.5"/>
    <n v="0.23529411764705882"/>
  </r>
  <r>
    <n v="7"/>
    <s v="2026-01-18"/>
    <x v="1"/>
    <s v="North"/>
    <s v="Neha"/>
    <s v="Electronics"/>
    <s v="Keyboard"/>
    <n v="14"/>
    <n v="2500"/>
    <n v="5"/>
    <n v="35000"/>
    <n v="22750"/>
    <n v="10500"/>
    <n v="1750"/>
    <n v="33250"/>
    <n v="0.31578947368421051"/>
  </r>
  <r>
    <n v="8"/>
    <s v="2026-04-08"/>
    <x v="4"/>
    <s v="East"/>
    <s v="Priya"/>
    <s v="Electronics"/>
    <s v="Keyboard"/>
    <n v="2"/>
    <n v="800"/>
    <n v="0"/>
    <n v="1600"/>
    <n v="1040"/>
    <n v="560"/>
    <n v="0"/>
    <n v="1600"/>
    <n v="0.35"/>
  </r>
  <r>
    <n v="9"/>
    <s v="2026-02-23"/>
    <x v="0"/>
    <s v="East"/>
    <s v="Neha"/>
    <s v="Office Supplies"/>
    <s v="Marker"/>
    <n v="3"/>
    <n v="2500"/>
    <n v="10"/>
    <n v="7500"/>
    <n v="4875"/>
    <n v="1875"/>
    <n v="750"/>
    <n v="6750"/>
    <n v="0.27777777777777779"/>
  </r>
  <r>
    <n v="10"/>
    <s v="2026-02-11"/>
    <x v="0"/>
    <s v="West"/>
    <s v="Priya"/>
    <s v="Office Supplies"/>
    <s v="Notebook"/>
    <n v="10"/>
    <n v="500"/>
    <n v="5"/>
    <n v="5000"/>
    <n v="3250"/>
    <n v="1500"/>
    <n v="250"/>
    <n v="4750"/>
    <n v="0.31578947368421051"/>
  </r>
  <r>
    <n v="11"/>
    <s v="2026-02-28"/>
    <x v="0"/>
    <s v="North"/>
    <s v="Arjun"/>
    <s v="Furniture"/>
    <s v="Desk"/>
    <n v="11"/>
    <n v="2500"/>
    <n v="0"/>
    <n v="27500"/>
    <n v="17875"/>
    <n v="9625"/>
    <n v="0"/>
    <n v="27500"/>
    <n v="0.35"/>
  </r>
  <r>
    <n v="12"/>
    <s v="2026-02-24"/>
    <x v="0"/>
    <s v="West"/>
    <s v="Priya"/>
    <s v="Furniture"/>
    <s v="Cabinet"/>
    <n v="2"/>
    <n v="800"/>
    <n v="10"/>
    <n v="1600"/>
    <n v="1040"/>
    <n v="400"/>
    <n v="160"/>
    <n v="1440"/>
    <n v="0.27777777777777779"/>
  </r>
  <r>
    <n v="13"/>
    <s v="2026-03-05"/>
    <x v="2"/>
    <s v="East"/>
    <s v="Neha"/>
    <s v="Office Supplies"/>
    <s v="Stapler"/>
    <n v="3"/>
    <n v="1200"/>
    <n v="5"/>
    <n v="3600"/>
    <n v="2340"/>
    <n v="1080"/>
    <n v="180"/>
    <n v="3420"/>
    <n v="0.31578947368421051"/>
  </r>
  <r>
    <n v="14"/>
    <s v="2026-02-26"/>
    <x v="0"/>
    <s v="South"/>
    <s v="Karan"/>
    <s v="Office Supplies"/>
    <s v="Stapler"/>
    <n v="15"/>
    <n v="5000"/>
    <n v="10"/>
    <n v="75000"/>
    <n v="48750"/>
    <n v="18750"/>
    <n v="7500"/>
    <n v="67500"/>
    <n v="0.27777777777777779"/>
  </r>
  <r>
    <n v="15"/>
    <s v="2026-02-09"/>
    <x v="0"/>
    <s v="South"/>
    <s v="Neha"/>
    <s v="Furniture"/>
    <s v="Chair"/>
    <n v="13"/>
    <n v="150"/>
    <n v="0"/>
    <n v="1950"/>
    <n v="1267.5"/>
    <n v="682.5"/>
    <n v="0"/>
    <n v="1950"/>
    <n v="0.35"/>
  </r>
  <r>
    <n v="16"/>
    <s v="2026-05-16"/>
    <x v="3"/>
    <s v="East"/>
    <s v="Karan"/>
    <s v="Furniture"/>
    <s v="Chair"/>
    <n v="7"/>
    <n v="5000"/>
    <n v="15"/>
    <n v="35000"/>
    <n v="22750"/>
    <n v="7000"/>
    <n v="5250"/>
    <n v="29750"/>
    <n v="0.23529411764705882"/>
  </r>
  <r>
    <n v="17"/>
    <s v="2026-01-29"/>
    <x v="1"/>
    <s v="East"/>
    <s v="Priya"/>
    <s v="Electronics"/>
    <s v="Laptop"/>
    <n v="11"/>
    <n v="1200"/>
    <n v="10"/>
    <n v="13200"/>
    <n v="8580"/>
    <n v="3300"/>
    <n v="1320"/>
    <n v="11880"/>
    <n v="0.27777777777777779"/>
  </r>
  <r>
    <n v="18"/>
    <s v="2026-05-10"/>
    <x v="3"/>
    <s v="North"/>
    <s v="Neha"/>
    <s v="Electronics"/>
    <s v="Monitor"/>
    <n v="1"/>
    <n v="1200"/>
    <n v="5"/>
    <n v="1200"/>
    <n v="780"/>
    <n v="360"/>
    <n v="60"/>
    <n v="1140"/>
    <n v="0.31578947368421051"/>
  </r>
  <r>
    <n v="19"/>
    <s v="2026-05-19"/>
    <x v="3"/>
    <s v="North"/>
    <s v="Karan"/>
    <s v="Furniture"/>
    <s v="Desk"/>
    <n v="3"/>
    <n v="2500"/>
    <n v="5"/>
    <n v="7500"/>
    <n v="4875"/>
    <n v="2250"/>
    <n v="375"/>
    <n v="7125"/>
    <n v="0.31578947368421051"/>
  </r>
  <r>
    <n v="20"/>
    <s v="2026-03-20"/>
    <x v="2"/>
    <s v="South"/>
    <s v="Anmol"/>
    <s v="Furniture"/>
    <s v="Table"/>
    <n v="1"/>
    <n v="250"/>
    <n v="10"/>
    <n v="250"/>
    <n v="162.5"/>
    <n v="62.5"/>
    <n v="25"/>
    <n v="225"/>
    <n v="0.27777777777777779"/>
  </r>
  <r>
    <n v="21"/>
    <s v="2026-05-17"/>
    <x v="3"/>
    <s v="South"/>
    <s v="Riya"/>
    <s v="Electronics"/>
    <s v="Laptop"/>
    <n v="2"/>
    <n v="12000"/>
    <n v="0"/>
    <n v="24000"/>
    <n v="15600"/>
    <n v="8400"/>
    <n v="0"/>
    <n v="24000"/>
    <n v="0.35"/>
  </r>
  <r>
    <n v="22"/>
    <s v="2026-05-16"/>
    <x v="3"/>
    <s v="West"/>
    <s v="Riya"/>
    <s v="Office Supplies"/>
    <s v="Stapler"/>
    <n v="9"/>
    <n v="500"/>
    <n v="10"/>
    <n v="4500"/>
    <n v="2925"/>
    <n v="1125"/>
    <n v="450"/>
    <n v="4050"/>
    <n v="0.27777777777777779"/>
  </r>
  <r>
    <n v="23"/>
    <s v="2026-06-21"/>
    <x v="5"/>
    <s v="East"/>
    <s v="Priya"/>
    <s v="Office Supplies"/>
    <s v="Pen"/>
    <n v="12"/>
    <n v="1200"/>
    <n v="15"/>
    <n v="14400"/>
    <n v="9360"/>
    <n v="2880"/>
    <n v="2160"/>
    <n v="12240"/>
    <n v="0.23529411764705882"/>
  </r>
  <r>
    <n v="24"/>
    <s v="2026-01-17"/>
    <x v="1"/>
    <s v="East"/>
    <s v="Anmol"/>
    <s v="Office Supplies"/>
    <s v="Stapler"/>
    <n v="2"/>
    <n v="800"/>
    <n v="5"/>
    <n v="1600"/>
    <n v="1040"/>
    <n v="480"/>
    <n v="80"/>
    <n v="1520"/>
    <n v="0.31578947368421051"/>
  </r>
  <r>
    <n v="25"/>
    <s v="2026-01-19"/>
    <x v="1"/>
    <s v="North"/>
    <s v="Riya"/>
    <s v="Office Supplies"/>
    <s v="Pen"/>
    <n v="10"/>
    <n v="800"/>
    <n v="0"/>
    <n v="8000"/>
    <n v="5200"/>
    <n v="2800"/>
    <n v="0"/>
    <n v="8000"/>
    <n v="0.35"/>
  </r>
  <r>
    <n v="26"/>
    <s v="2026-05-12"/>
    <x v="3"/>
    <s v="South"/>
    <s v="Arjun"/>
    <s v="Electronics"/>
    <s v="Laptop"/>
    <n v="14"/>
    <n v="2500"/>
    <n v="0"/>
    <n v="35000"/>
    <n v="22750"/>
    <n v="12250"/>
    <n v="0"/>
    <n v="35000"/>
    <n v="0.35"/>
  </r>
  <r>
    <n v="27"/>
    <s v="2026-03-04"/>
    <x v="2"/>
    <s v="West"/>
    <s v="Priya"/>
    <s v="Office Supplies"/>
    <s v="Stapler"/>
    <n v="4"/>
    <n v="500"/>
    <n v="15"/>
    <n v="2000"/>
    <n v="1300"/>
    <n v="400"/>
    <n v="300"/>
    <n v="1700"/>
    <n v="0.23529411764705882"/>
  </r>
  <r>
    <n v="28"/>
    <s v="2026-04-19"/>
    <x v="4"/>
    <s v="West"/>
    <s v="Priya"/>
    <s v="Electronics"/>
    <s v="Laptop"/>
    <n v="2"/>
    <n v="5000"/>
    <n v="10"/>
    <n v="10000"/>
    <n v="6500"/>
    <n v="2500"/>
    <n v="1000"/>
    <n v="9000"/>
    <n v="0.27777777777777779"/>
  </r>
  <r>
    <n v="29"/>
    <s v="2026-04-14"/>
    <x v="4"/>
    <s v="East"/>
    <s v="Anmol"/>
    <s v="Office Supplies"/>
    <s v="Notebook"/>
    <n v="11"/>
    <n v="250"/>
    <n v="0"/>
    <n v="2750"/>
    <n v="1787.5"/>
    <n v="962.5"/>
    <n v="0"/>
    <n v="2750"/>
    <n v="0.35"/>
  </r>
  <r>
    <n v="30"/>
    <s v="2026-04-19"/>
    <x v="4"/>
    <s v="South"/>
    <s v="Arjun"/>
    <s v="Electronics"/>
    <s v="Mouse"/>
    <n v="4"/>
    <n v="12000"/>
    <n v="5"/>
    <n v="48000"/>
    <n v="31200"/>
    <n v="14400"/>
    <n v="2400"/>
    <n v="45600"/>
    <n v="0.31578947368421051"/>
  </r>
  <r>
    <n v="31"/>
    <s v="2026-05-21"/>
    <x v="3"/>
    <s v="North"/>
    <s v="Anmol"/>
    <s v="Furniture"/>
    <s v="Desk"/>
    <n v="14"/>
    <n v="250"/>
    <n v="15"/>
    <n v="3500"/>
    <n v="2275"/>
    <n v="700"/>
    <n v="525"/>
    <n v="2975"/>
    <n v="0.23529411764705882"/>
  </r>
  <r>
    <n v="32"/>
    <s v="2026-04-15"/>
    <x v="4"/>
    <s v="West"/>
    <s v="Priya"/>
    <s v="Office Supplies"/>
    <s v="Notebook"/>
    <n v="2"/>
    <n v="800"/>
    <n v="5"/>
    <n v="1600"/>
    <n v="1040"/>
    <n v="480"/>
    <n v="80"/>
    <n v="1520"/>
    <n v="0.31578947368421051"/>
  </r>
  <r>
    <n v="33"/>
    <s v="2026-04-08"/>
    <x v="4"/>
    <s v="North"/>
    <s v="Priya"/>
    <s v="Electronics"/>
    <s v="Monitor"/>
    <n v="15"/>
    <n v="150"/>
    <n v="5"/>
    <n v="2250"/>
    <n v="1462.5"/>
    <n v="675"/>
    <n v="112.5"/>
    <n v="2137.5"/>
    <n v="0.31578947368421051"/>
  </r>
  <r>
    <n v="34"/>
    <s v="2026-02-09"/>
    <x v="0"/>
    <s v="South"/>
    <s v="Arjun"/>
    <s v="Furniture"/>
    <s v="Table"/>
    <n v="5"/>
    <n v="5000"/>
    <n v="15"/>
    <n v="25000"/>
    <n v="16250"/>
    <n v="5000"/>
    <n v="3750"/>
    <n v="21250"/>
    <n v="0.23529411764705882"/>
  </r>
  <r>
    <n v="35"/>
    <s v="2026-01-15"/>
    <x v="1"/>
    <s v="North"/>
    <s v="Karan"/>
    <s v="Electronics"/>
    <s v="Laptop"/>
    <n v="10"/>
    <n v="150"/>
    <n v="10"/>
    <n v="1500"/>
    <n v="975"/>
    <n v="375"/>
    <n v="150"/>
    <n v="1350"/>
    <n v="0.27777777777777779"/>
  </r>
  <r>
    <n v="36"/>
    <s v="2026-01-18"/>
    <x v="1"/>
    <s v="North"/>
    <s v="Neha"/>
    <s v="Furniture"/>
    <s v="Desk"/>
    <n v="1"/>
    <n v="250"/>
    <n v="5"/>
    <n v="250"/>
    <n v="162.5"/>
    <n v="75"/>
    <n v="12.5"/>
    <n v="237.5"/>
    <n v="0.31578947368421051"/>
  </r>
  <r>
    <n v="37"/>
    <s v="2026-06-08"/>
    <x v="5"/>
    <s v="North"/>
    <s v="Priya"/>
    <s v="Electronics"/>
    <s v="Monitor"/>
    <n v="2"/>
    <n v="800"/>
    <n v="0"/>
    <n v="1600"/>
    <n v="1040"/>
    <n v="560"/>
    <n v="0"/>
    <n v="1600"/>
    <n v="0.35"/>
  </r>
  <r>
    <n v="38"/>
    <s v="2026-06-21"/>
    <x v="5"/>
    <s v="East"/>
    <s v="Riya"/>
    <s v="Office Supplies"/>
    <s v="Marker"/>
    <n v="15"/>
    <n v="1200"/>
    <n v="5"/>
    <n v="18000"/>
    <n v="11700"/>
    <n v="5400"/>
    <n v="900"/>
    <n v="17100"/>
    <n v="0.31578947368421051"/>
  </r>
  <r>
    <n v="39"/>
    <s v="2026-03-22"/>
    <x v="2"/>
    <s v="North"/>
    <s v="Anmol"/>
    <s v="Furniture"/>
    <s v="Table"/>
    <n v="3"/>
    <n v="1200"/>
    <n v="15"/>
    <n v="3600"/>
    <n v="2340"/>
    <n v="720"/>
    <n v="540"/>
    <n v="3060"/>
    <n v="0.23529411764705882"/>
  </r>
  <r>
    <n v="40"/>
    <s v="2026-02-03"/>
    <x v="0"/>
    <s v="East"/>
    <s v="Anmol"/>
    <s v="Furniture"/>
    <s v="Chair"/>
    <n v="2"/>
    <n v="800"/>
    <n v="10"/>
    <n v="1600"/>
    <n v="1040"/>
    <n v="400"/>
    <n v="160"/>
    <n v="1440"/>
    <n v="0.27777777777777779"/>
  </r>
  <r>
    <n v="41"/>
    <s v="2026-05-20"/>
    <x v="3"/>
    <s v="East"/>
    <s v="Karan"/>
    <s v="Electronics"/>
    <s v="Keyboard"/>
    <n v="5"/>
    <n v="500"/>
    <n v="15"/>
    <n v="2500"/>
    <n v="1625"/>
    <n v="500"/>
    <n v="375"/>
    <n v="2125"/>
    <n v="0.23529411764705882"/>
  </r>
  <r>
    <n v="42"/>
    <s v="2026-02-04"/>
    <x v="0"/>
    <s v="East"/>
    <s v="Anmol"/>
    <s v="Office Supplies"/>
    <s v="Notebook"/>
    <n v="11"/>
    <n v="1200"/>
    <n v="0"/>
    <n v="13200"/>
    <n v="8580"/>
    <n v="4620"/>
    <n v="0"/>
    <n v="13200"/>
    <n v="0.35"/>
  </r>
  <r>
    <n v="43"/>
    <s v="2026-03-29"/>
    <x v="2"/>
    <s v="South"/>
    <s v="Neha"/>
    <s v="Electronics"/>
    <s v="Mouse"/>
    <n v="5"/>
    <n v="1200"/>
    <n v="5"/>
    <n v="6000"/>
    <n v="3900"/>
    <n v="1800"/>
    <n v="300"/>
    <n v="5700"/>
    <n v="0.31578947368421051"/>
  </r>
  <r>
    <n v="44"/>
    <s v="2026-01-14"/>
    <x v="1"/>
    <s v="North"/>
    <s v="Neha"/>
    <s v="Office Supplies"/>
    <s v="Marker"/>
    <n v="9"/>
    <n v="12000"/>
    <n v="10"/>
    <n v="108000"/>
    <n v="70200"/>
    <n v="27000"/>
    <n v="10800"/>
    <n v="97200"/>
    <n v="0.27777777777777779"/>
  </r>
  <r>
    <n v="45"/>
    <s v="2026-02-03"/>
    <x v="0"/>
    <s v="East"/>
    <s v="Riya"/>
    <s v="Furniture"/>
    <s v="Cabinet"/>
    <n v="1"/>
    <n v="150"/>
    <n v="10"/>
    <n v="150"/>
    <n v="97.5"/>
    <n v="37.5"/>
    <n v="15"/>
    <n v="135"/>
    <n v="0.27777777777777779"/>
  </r>
  <r>
    <n v="46"/>
    <s v="2026-01-29"/>
    <x v="1"/>
    <s v="North"/>
    <s v="Neha"/>
    <s v="Office Supplies"/>
    <s v="Stapler"/>
    <n v="9"/>
    <n v="5000"/>
    <n v="0"/>
    <n v="45000"/>
    <n v="29250"/>
    <n v="15750"/>
    <n v="0"/>
    <n v="45000"/>
    <n v="0.35"/>
  </r>
  <r>
    <n v="47"/>
    <s v="2026-04-21"/>
    <x v="4"/>
    <s v="South"/>
    <s v="Anmol"/>
    <s v="Electronics"/>
    <s v="Laptop"/>
    <n v="14"/>
    <n v="2500"/>
    <n v="5"/>
    <n v="35000"/>
    <n v="22750"/>
    <n v="10500"/>
    <n v="1750"/>
    <n v="33250"/>
    <n v="0.31578947368421051"/>
  </r>
  <r>
    <n v="48"/>
    <s v="2026-02-23"/>
    <x v="0"/>
    <s v="South"/>
    <s v="Neha"/>
    <s v="Furniture"/>
    <s v="Cabinet"/>
    <n v="15"/>
    <n v="150"/>
    <n v="10"/>
    <n v="2250"/>
    <n v="1462.5"/>
    <n v="562.5"/>
    <n v="225"/>
    <n v="2025"/>
    <n v="0.27777777777777779"/>
  </r>
  <r>
    <n v="49"/>
    <s v="2026-03-02"/>
    <x v="2"/>
    <s v="South"/>
    <s v="Riya"/>
    <s v="Electronics"/>
    <s v="Keyboard"/>
    <n v="13"/>
    <n v="5000"/>
    <n v="5"/>
    <n v="65000"/>
    <n v="42250"/>
    <n v="19500"/>
    <n v="3250"/>
    <n v="61750"/>
    <n v="0.31578947368421051"/>
  </r>
  <r>
    <n v="50"/>
    <s v="2026-06-21"/>
    <x v="5"/>
    <s v="South"/>
    <s v="Arjun"/>
    <s v="Furniture"/>
    <s v="Chair"/>
    <n v="3"/>
    <n v="2500"/>
    <n v="15"/>
    <n v="7500"/>
    <n v="4875"/>
    <n v="1500"/>
    <n v="1125"/>
    <n v="6375"/>
    <n v="0.23529411764705882"/>
  </r>
  <r>
    <n v="51"/>
    <s v="2026-02-26"/>
    <x v="0"/>
    <s v="South"/>
    <s v="Priya"/>
    <s v="Electronics"/>
    <s v="Laptop"/>
    <n v="7"/>
    <n v="150"/>
    <n v="15"/>
    <n v="1050"/>
    <n v="682.5"/>
    <n v="210"/>
    <n v="157.5"/>
    <n v="892.5"/>
    <n v="0.23529411764705882"/>
  </r>
  <r>
    <n v="52"/>
    <s v="2026-01-07"/>
    <x v="1"/>
    <s v="South"/>
    <s v="Priya"/>
    <s v="Furniture"/>
    <s v="Cabinet"/>
    <n v="14"/>
    <n v="800"/>
    <n v="5"/>
    <n v="11200"/>
    <n v="7280"/>
    <n v="3360"/>
    <n v="560"/>
    <n v="10640"/>
    <n v="0.31578947368421051"/>
  </r>
  <r>
    <n v="53"/>
    <s v="2026-03-31"/>
    <x v="2"/>
    <s v="West"/>
    <s v="Neha"/>
    <s v="Furniture"/>
    <s v="Cabinet"/>
    <n v="14"/>
    <n v="250"/>
    <n v="10"/>
    <n v="3500"/>
    <n v="2275"/>
    <n v="875"/>
    <n v="350"/>
    <n v="3150"/>
    <n v="0.27777777777777779"/>
  </r>
  <r>
    <n v="54"/>
    <s v="2026-02-15"/>
    <x v="0"/>
    <s v="East"/>
    <s v="Anmol"/>
    <s v="Office Supplies"/>
    <s v="Marker"/>
    <n v="1"/>
    <n v="250"/>
    <n v="10"/>
    <n v="250"/>
    <n v="162.5"/>
    <n v="62.5"/>
    <n v="25"/>
    <n v="225"/>
    <n v="0.27777777777777779"/>
  </r>
  <r>
    <n v="55"/>
    <s v="2026-06-05"/>
    <x v="5"/>
    <s v="North"/>
    <s v="Priya"/>
    <s v="Electronics"/>
    <s v="Monitor"/>
    <n v="6"/>
    <n v="2500"/>
    <n v="15"/>
    <n v="15000"/>
    <n v="9750"/>
    <n v="3000"/>
    <n v="2250"/>
    <n v="12750"/>
    <n v="0.23529411764705882"/>
  </r>
  <r>
    <n v="56"/>
    <s v="2026-01-01"/>
    <x v="1"/>
    <s v="South"/>
    <s v="Arjun"/>
    <s v="Office Supplies"/>
    <s v="Pen"/>
    <n v="5"/>
    <n v="150"/>
    <n v="15"/>
    <n v="750"/>
    <n v="487.5"/>
    <n v="150"/>
    <n v="112.5"/>
    <n v="637.5"/>
    <n v="0.23529411764705882"/>
  </r>
  <r>
    <n v="57"/>
    <s v="2026-06-19"/>
    <x v="5"/>
    <s v="North"/>
    <s v="Neha"/>
    <s v="Furniture"/>
    <s v="Chair"/>
    <n v="11"/>
    <n v="2500"/>
    <n v="10"/>
    <n v="27500"/>
    <n v="17875"/>
    <n v="6875"/>
    <n v="2750"/>
    <n v="24750"/>
    <n v="0.27777777777777779"/>
  </r>
  <r>
    <n v="58"/>
    <s v="2026-04-14"/>
    <x v="4"/>
    <s v="East"/>
    <s v="Karan"/>
    <s v="Furniture"/>
    <s v="Cabinet"/>
    <n v="11"/>
    <n v="5000"/>
    <n v="10"/>
    <n v="55000"/>
    <n v="35750"/>
    <n v="13750"/>
    <n v="5500"/>
    <n v="49500"/>
    <n v="0.27777777777777779"/>
  </r>
  <r>
    <n v="59"/>
    <s v="2026-06-07"/>
    <x v="5"/>
    <s v="East"/>
    <s v="Priya"/>
    <s v="Electronics"/>
    <s v="Mouse"/>
    <n v="7"/>
    <n v="5000"/>
    <n v="5"/>
    <n v="35000"/>
    <n v="22750"/>
    <n v="10500"/>
    <n v="1750"/>
    <n v="33250"/>
    <n v="0.31578947368421051"/>
  </r>
  <r>
    <n v="60"/>
    <s v="2026-04-21"/>
    <x v="4"/>
    <s v="East"/>
    <s v="Priya"/>
    <s v="Office Supplies"/>
    <s v="Notebook"/>
    <n v="5"/>
    <n v="1200"/>
    <n v="5"/>
    <n v="6000"/>
    <n v="3900"/>
    <n v="1800"/>
    <n v="300"/>
    <n v="5700"/>
    <n v="0.31578947368421051"/>
  </r>
  <r>
    <n v="61"/>
    <s v="2026-02-13"/>
    <x v="0"/>
    <s v="North"/>
    <s v="Arjun"/>
    <s v="Furniture"/>
    <s v="Table"/>
    <n v="11"/>
    <n v="800"/>
    <n v="15"/>
    <n v="8800"/>
    <n v="5720"/>
    <n v="1760"/>
    <n v="1320"/>
    <n v="7480"/>
    <n v="0.23529411764705882"/>
  </r>
  <r>
    <n v="62"/>
    <s v="2026-02-27"/>
    <x v="0"/>
    <s v="South"/>
    <s v="Riya"/>
    <s v="Office Supplies"/>
    <s v="Marker"/>
    <n v="2"/>
    <n v="800"/>
    <n v="10"/>
    <n v="1600"/>
    <n v="1040"/>
    <n v="400"/>
    <n v="160"/>
    <n v="1440"/>
    <n v="0.27777777777777779"/>
  </r>
  <r>
    <n v="63"/>
    <s v="2026-04-27"/>
    <x v="4"/>
    <s v="West"/>
    <s v="Neha"/>
    <s v="Electronics"/>
    <s v="Laptop"/>
    <n v="4"/>
    <n v="12000"/>
    <n v="0"/>
    <n v="48000"/>
    <n v="31200"/>
    <n v="16800"/>
    <n v="0"/>
    <n v="48000"/>
    <n v="0.35"/>
  </r>
  <r>
    <n v="64"/>
    <s v="2026-04-13"/>
    <x v="4"/>
    <s v="South"/>
    <s v="Riya"/>
    <s v="Office Supplies"/>
    <s v="Pen"/>
    <n v="12"/>
    <n v="5000"/>
    <n v="15"/>
    <n v="60000"/>
    <n v="39000"/>
    <n v="12000"/>
    <n v="9000"/>
    <n v="51000"/>
    <n v="0.23529411764705882"/>
  </r>
  <r>
    <n v="65"/>
    <s v="2026-02-26"/>
    <x v="0"/>
    <s v="South"/>
    <s v="Neha"/>
    <s v="Office Supplies"/>
    <s v="Notebook"/>
    <n v="15"/>
    <n v="250"/>
    <n v="15"/>
    <n v="3750"/>
    <n v="2437.5"/>
    <n v="750"/>
    <n v="562.5"/>
    <n v="3187.5"/>
    <n v="0.23529411764705882"/>
  </r>
  <r>
    <n v="66"/>
    <s v="2026-04-27"/>
    <x v="4"/>
    <s v="South"/>
    <s v="Priya"/>
    <s v="Office Supplies"/>
    <s v="Stapler"/>
    <n v="1"/>
    <n v="800"/>
    <n v="0"/>
    <n v="800"/>
    <n v="520"/>
    <n v="280"/>
    <n v="0"/>
    <n v="800"/>
    <n v="0.35"/>
  </r>
  <r>
    <n v="67"/>
    <s v="2026-05-21"/>
    <x v="3"/>
    <s v="West"/>
    <s v="Riya"/>
    <s v="Office Supplies"/>
    <s v="Marker"/>
    <n v="13"/>
    <n v="12000"/>
    <n v="15"/>
    <n v="156000"/>
    <n v="101400"/>
    <n v="31200"/>
    <n v="23400"/>
    <n v="132600"/>
    <n v="0.23529411764705882"/>
  </r>
  <r>
    <n v="68"/>
    <s v="2026-06-13"/>
    <x v="5"/>
    <s v="East"/>
    <s v="Karan"/>
    <s v="Office Supplies"/>
    <s v="Stapler"/>
    <n v="8"/>
    <n v="1200"/>
    <n v="5"/>
    <n v="9600"/>
    <n v="6240"/>
    <n v="2880"/>
    <n v="480"/>
    <n v="9120"/>
    <n v="0.31578947368421051"/>
  </r>
  <r>
    <n v="69"/>
    <s v="2026-03-15"/>
    <x v="2"/>
    <s v="South"/>
    <s v="Arjun"/>
    <s v="Furniture"/>
    <s v="Desk"/>
    <n v="5"/>
    <n v="12000"/>
    <n v="0"/>
    <n v="60000"/>
    <n v="39000"/>
    <n v="21000"/>
    <n v="0"/>
    <n v="60000"/>
    <n v="0.35"/>
  </r>
  <r>
    <n v="70"/>
    <s v="2026-02-08"/>
    <x v="0"/>
    <s v="South"/>
    <s v="Priya"/>
    <s v="Furniture"/>
    <s v="Cabinet"/>
    <n v="15"/>
    <n v="250"/>
    <n v="5"/>
    <n v="3750"/>
    <n v="2437.5"/>
    <n v="1125"/>
    <n v="187.5"/>
    <n v="3562.5"/>
    <n v="0.31578947368421051"/>
  </r>
  <r>
    <n v="71"/>
    <s v="2026-04-17"/>
    <x v="4"/>
    <s v="West"/>
    <s v="Arjun"/>
    <s v="Office Supplies"/>
    <s v="Pen"/>
    <n v="12"/>
    <n v="800"/>
    <n v="0"/>
    <n v="9600"/>
    <n v="6240"/>
    <n v="3360"/>
    <n v="0"/>
    <n v="9600"/>
    <n v="0.35"/>
  </r>
  <r>
    <n v="72"/>
    <s v="2026-04-18"/>
    <x v="4"/>
    <s v="West"/>
    <s v="Karan"/>
    <s v="Office Supplies"/>
    <s v="Stapler"/>
    <n v="7"/>
    <n v="150"/>
    <n v="5"/>
    <n v="1050"/>
    <n v="682.5"/>
    <n v="315"/>
    <n v="52.5"/>
    <n v="997.5"/>
    <n v="0.31578947368421051"/>
  </r>
  <r>
    <n v="73"/>
    <s v="2026-01-02"/>
    <x v="1"/>
    <s v="East"/>
    <s v="Arjun"/>
    <s v="Office Supplies"/>
    <s v="Notebook"/>
    <n v="14"/>
    <n v="5000"/>
    <n v="15"/>
    <n v="70000"/>
    <n v="45500"/>
    <n v="14000"/>
    <n v="10500"/>
    <n v="59500"/>
    <n v="0.23529411764705882"/>
  </r>
  <r>
    <n v="74"/>
    <s v="2026-02-26"/>
    <x v="0"/>
    <s v="East"/>
    <s v="Priya"/>
    <s v="Furniture"/>
    <s v="Table"/>
    <n v="9"/>
    <n v="800"/>
    <n v="15"/>
    <n v="7200"/>
    <n v="4680"/>
    <n v="1440"/>
    <n v="1080"/>
    <n v="6120"/>
    <n v="0.23529411764705882"/>
  </r>
  <r>
    <n v="75"/>
    <s v="2026-02-12"/>
    <x v="0"/>
    <s v="West"/>
    <s v="Riya"/>
    <s v="Furniture"/>
    <s v="Chair"/>
    <n v="7"/>
    <n v="2500"/>
    <n v="15"/>
    <n v="17500"/>
    <n v="11375"/>
    <n v="3500"/>
    <n v="2625"/>
    <n v="14875"/>
    <n v="0.23529411764705882"/>
  </r>
  <r>
    <n v="76"/>
    <s v="2026-01-22"/>
    <x v="1"/>
    <s v="West"/>
    <s v="Riya"/>
    <s v="Office Supplies"/>
    <s v="Notebook"/>
    <n v="15"/>
    <n v="5000"/>
    <n v="0"/>
    <n v="75000"/>
    <n v="48750"/>
    <n v="26250"/>
    <n v="0"/>
    <n v="75000"/>
    <n v="0.35"/>
  </r>
  <r>
    <n v="77"/>
    <s v="2026-03-25"/>
    <x v="2"/>
    <s v="South"/>
    <s v="Priya"/>
    <s v="Furniture"/>
    <s v="Desk"/>
    <n v="1"/>
    <n v="1200"/>
    <n v="15"/>
    <n v="1200"/>
    <n v="780"/>
    <n v="240"/>
    <n v="180"/>
    <n v="1020"/>
    <n v="0.23529411764705882"/>
  </r>
  <r>
    <n v="78"/>
    <s v="2026-04-18"/>
    <x v="4"/>
    <s v="East"/>
    <s v="Anmol"/>
    <s v="Furniture"/>
    <s v="Cabinet"/>
    <n v="13"/>
    <n v="5000"/>
    <n v="10"/>
    <n v="65000"/>
    <n v="42250"/>
    <n v="16250"/>
    <n v="6500"/>
    <n v="58500"/>
    <n v="0.27777777777777779"/>
  </r>
  <r>
    <n v="79"/>
    <s v="2026-02-27"/>
    <x v="0"/>
    <s v="North"/>
    <s v="Neha"/>
    <s v="Furniture"/>
    <s v="Chair"/>
    <n v="12"/>
    <n v="150"/>
    <n v="10"/>
    <n v="1800"/>
    <n v="1170"/>
    <n v="450"/>
    <n v="180"/>
    <n v="1620"/>
    <n v="0.27777777777777779"/>
  </r>
  <r>
    <n v="80"/>
    <s v="2026-06-09"/>
    <x v="5"/>
    <s v="South"/>
    <s v="Riya"/>
    <s v="Electronics"/>
    <s v="Laptop"/>
    <n v="4"/>
    <n v="800"/>
    <n v="0"/>
    <n v="3200"/>
    <n v="2080"/>
    <n v="1120"/>
    <n v="0"/>
    <n v="3200"/>
    <n v="0.35"/>
  </r>
  <r>
    <n v="81"/>
    <s v="2026-04-30"/>
    <x v="4"/>
    <s v="East"/>
    <s v="Arjun"/>
    <s v="Electronics"/>
    <s v="Monitor"/>
    <n v="11"/>
    <n v="250"/>
    <n v="5"/>
    <n v="2750"/>
    <n v="1787.5"/>
    <n v="825"/>
    <n v="137.5"/>
    <n v="2612.5"/>
    <n v="0.31578947368421051"/>
  </r>
  <r>
    <n v="82"/>
    <s v="2026-01-28"/>
    <x v="1"/>
    <s v="North"/>
    <s v="Arjun"/>
    <s v="Electronics"/>
    <s v="Laptop"/>
    <n v="13"/>
    <n v="500"/>
    <n v="10"/>
    <n v="6500"/>
    <n v="4225"/>
    <n v="1625"/>
    <n v="650"/>
    <n v="5850"/>
    <n v="0.27777777777777779"/>
  </r>
  <r>
    <n v="83"/>
    <s v="2026-06-01"/>
    <x v="5"/>
    <s v="South"/>
    <s v="Anmol"/>
    <s v="Office Supplies"/>
    <s v="Stapler"/>
    <n v="7"/>
    <n v="800"/>
    <n v="0"/>
    <n v="5600"/>
    <n v="3640"/>
    <n v="1960"/>
    <n v="0"/>
    <n v="5600"/>
    <n v="0.35"/>
  </r>
  <r>
    <n v="84"/>
    <s v="2026-03-30"/>
    <x v="2"/>
    <s v="West"/>
    <s v="Neha"/>
    <s v="Office Supplies"/>
    <s v="Marker"/>
    <n v="14"/>
    <n v="250"/>
    <n v="0"/>
    <n v="3500"/>
    <n v="2275"/>
    <n v="1225"/>
    <n v="0"/>
    <n v="3500"/>
    <n v="0.35"/>
  </r>
  <r>
    <n v="85"/>
    <s v="2026-04-18"/>
    <x v="4"/>
    <s v="West"/>
    <s v="Anmol"/>
    <s v="Furniture"/>
    <s v="Chair"/>
    <n v="9"/>
    <n v="2500"/>
    <n v="0"/>
    <n v="22500"/>
    <n v="14625"/>
    <n v="7875"/>
    <n v="0"/>
    <n v="22500"/>
    <n v="0.35"/>
  </r>
  <r>
    <n v="86"/>
    <s v="2026-04-22"/>
    <x v="4"/>
    <s v="South"/>
    <s v="Neha"/>
    <s v="Furniture"/>
    <s v="Cabinet"/>
    <n v="11"/>
    <n v="12000"/>
    <n v="5"/>
    <n v="132000"/>
    <n v="85800"/>
    <n v="39600"/>
    <n v="6600"/>
    <n v="125400"/>
    <n v="0.31578947368421051"/>
  </r>
  <r>
    <n v="87"/>
    <s v="2026-04-22"/>
    <x v="4"/>
    <s v="East"/>
    <s v="Arjun"/>
    <s v="Office Supplies"/>
    <s v="Marker"/>
    <n v="10"/>
    <n v="12000"/>
    <n v="15"/>
    <n v="120000"/>
    <n v="78000"/>
    <n v="24000"/>
    <n v="18000"/>
    <n v="102000"/>
    <n v="0.23529411764705882"/>
  </r>
  <r>
    <n v="88"/>
    <s v="2026-04-29"/>
    <x v="4"/>
    <s v="West"/>
    <s v="Arjun"/>
    <s v="Electronics"/>
    <s v="Laptop"/>
    <n v="5"/>
    <n v="12000"/>
    <n v="5"/>
    <n v="60000"/>
    <n v="39000"/>
    <n v="18000"/>
    <n v="3000"/>
    <n v="57000"/>
    <n v="0.31578947368421051"/>
  </r>
  <r>
    <n v="89"/>
    <s v="2026-05-05"/>
    <x v="3"/>
    <s v="South"/>
    <s v="Arjun"/>
    <s v="Electronics"/>
    <s v="Monitor"/>
    <n v="14"/>
    <n v="2500"/>
    <n v="5"/>
    <n v="35000"/>
    <n v="22750"/>
    <n v="10500"/>
    <n v="1750"/>
    <n v="33250"/>
    <n v="0.31578947368421051"/>
  </r>
  <r>
    <n v="90"/>
    <s v="2026-05-13"/>
    <x v="3"/>
    <s v="South"/>
    <s v="Anmol"/>
    <s v="Furniture"/>
    <s v="Cabinet"/>
    <n v="5"/>
    <n v="1200"/>
    <n v="0"/>
    <n v="6000"/>
    <n v="3900"/>
    <n v="2100"/>
    <n v="0"/>
    <n v="6000"/>
    <n v="0.35"/>
  </r>
  <r>
    <n v="91"/>
    <s v="2026-06-15"/>
    <x v="5"/>
    <s v="West"/>
    <s v="Priya"/>
    <s v="Electronics"/>
    <s v="Monitor"/>
    <n v="8"/>
    <n v="800"/>
    <n v="15"/>
    <n v="6400"/>
    <n v="4160"/>
    <n v="1280"/>
    <n v="960"/>
    <n v="5440"/>
    <n v="0.23529411764705882"/>
  </r>
  <r>
    <n v="92"/>
    <s v="2026-06-27"/>
    <x v="5"/>
    <s v="South"/>
    <s v="Arjun"/>
    <s v="Electronics"/>
    <s v="Laptop"/>
    <n v="5"/>
    <n v="800"/>
    <n v="15"/>
    <n v="4000"/>
    <n v="2600"/>
    <n v="800"/>
    <n v="600"/>
    <n v="3400"/>
    <n v="0.23529411764705882"/>
  </r>
  <r>
    <n v="93"/>
    <s v="2026-05-21"/>
    <x v="3"/>
    <s v="East"/>
    <s v="Arjun"/>
    <s v="Office Supplies"/>
    <s v="Marker"/>
    <n v="8"/>
    <n v="2500"/>
    <n v="15"/>
    <n v="20000"/>
    <n v="13000"/>
    <n v="4000"/>
    <n v="3000"/>
    <n v="17000"/>
    <n v="0.23529411764705882"/>
  </r>
  <r>
    <n v="94"/>
    <s v="2026-03-01"/>
    <x v="2"/>
    <s v="North"/>
    <s v="Neha"/>
    <s v="Office Supplies"/>
    <s v="Stapler"/>
    <n v="5"/>
    <n v="1200"/>
    <n v="10"/>
    <n v="6000"/>
    <n v="3900"/>
    <n v="1500"/>
    <n v="600"/>
    <n v="5400"/>
    <n v="0.27777777777777779"/>
  </r>
  <r>
    <n v="95"/>
    <s v="2026-02-25"/>
    <x v="0"/>
    <s v="West"/>
    <s v="Arjun"/>
    <s v="Electronics"/>
    <s v="Keyboard"/>
    <n v="2"/>
    <n v="500"/>
    <n v="5"/>
    <n v="1000"/>
    <n v="650"/>
    <n v="300"/>
    <n v="50"/>
    <n v="950"/>
    <n v="0.31578947368421051"/>
  </r>
  <r>
    <n v="96"/>
    <s v="2026-02-28"/>
    <x v="0"/>
    <s v="East"/>
    <s v="Riya"/>
    <s v="Office Supplies"/>
    <s v="Marker"/>
    <n v="2"/>
    <n v="800"/>
    <n v="10"/>
    <n v="1600"/>
    <n v="1040"/>
    <n v="400"/>
    <n v="160"/>
    <n v="1440"/>
    <n v="0.27777777777777779"/>
  </r>
  <r>
    <n v="97"/>
    <s v="2026-01-12"/>
    <x v="1"/>
    <s v="North"/>
    <s v="Karan"/>
    <s v="Furniture"/>
    <s v="Chair"/>
    <n v="12"/>
    <n v="500"/>
    <n v="10"/>
    <n v="6000"/>
    <n v="3900"/>
    <n v="1500"/>
    <n v="600"/>
    <n v="5400"/>
    <n v="0.27777777777777779"/>
  </r>
  <r>
    <n v="98"/>
    <s v="2026-01-04"/>
    <x v="1"/>
    <s v="East"/>
    <s v="Priya"/>
    <s v="Furniture"/>
    <s v="Desk"/>
    <n v="11"/>
    <n v="12000"/>
    <n v="0"/>
    <n v="132000"/>
    <n v="85800"/>
    <n v="46200"/>
    <n v="0"/>
    <n v="132000"/>
    <n v="0.35"/>
  </r>
  <r>
    <n v="99"/>
    <s v="2026-03-06"/>
    <x v="2"/>
    <s v="West"/>
    <s v="Anmol"/>
    <s v="Furniture"/>
    <s v="Table"/>
    <n v="6"/>
    <n v="500"/>
    <n v="0"/>
    <n v="3000"/>
    <n v="1950"/>
    <n v="1050"/>
    <n v="0"/>
    <n v="3000"/>
    <n v="0.35"/>
  </r>
  <r>
    <n v="100"/>
    <s v="2026-02-08"/>
    <x v="0"/>
    <s v="South"/>
    <s v="Karan"/>
    <s v="Electronics"/>
    <s v="Monitor"/>
    <n v="8"/>
    <n v="250"/>
    <n v="0"/>
    <n v="2000"/>
    <n v="1300"/>
    <n v="700"/>
    <n v="0"/>
    <n v="2000"/>
    <n v="0.35"/>
  </r>
  <r>
    <m/>
    <m/>
    <x v="6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2026-02-27"/>
    <x v="0"/>
    <x v="0"/>
    <x v="0"/>
    <x v="0"/>
    <x v="0"/>
    <n v="1"/>
    <n v="1200"/>
    <n v="5"/>
    <n v="1200"/>
    <n v="780"/>
    <n v="360"/>
    <n v="60"/>
    <n v="1140"/>
    <n v="0.31578947368421051"/>
  </r>
  <r>
    <n v="2"/>
    <s v="2026-01-08"/>
    <x v="1"/>
    <x v="1"/>
    <x v="1"/>
    <x v="1"/>
    <x v="1"/>
    <n v="10"/>
    <n v="5000"/>
    <n v="0"/>
    <n v="50000"/>
    <n v="32500"/>
    <n v="17500"/>
    <n v="0"/>
    <n v="50000"/>
    <n v="0.35"/>
  </r>
  <r>
    <n v="3"/>
    <s v="2026-02-26"/>
    <x v="0"/>
    <x v="2"/>
    <x v="2"/>
    <x v="1"/>
    <x v="1"/>
    <n v="9"/>
    <n v="800"/>
    <n v="15"/>
    <n v="7200"/>
    <n v="4680"/>
    <n v="1440"/>
    <n v="1080"/>
    <n v="6120"/>
    <n v="0.23529411764705882"/>
  </r>
  <r>
    <n v="4"/>
    <s v="2026-03-29"/>
    <x v="2"/>
    <x v="3"/>
    <x v="1"/>
    <x v="2"/>
    <x v="2"/>
    <n v="13"/>
    <n v="500"/>
    <n v="15"/>
    <n v="6500"/>
    <n v="4225"/>
    <n v="1300"/>
    <n v="975"/>
    <n v="5525"/>
    <n v="0.23529411764705882"/>
  </r>
  <r>
    <n v="5"/>
    <s v="2026-01-25"/>
    <x v="1"/>
    <x v="3"/>
    <x v="3"/>
    <x v="1"/>
    <x v="3"/>
    <n v="2"/>
    <n v="250"/>
    <n v="15"/>
    <n v="500"/>
    <n v="325"/>
    <n v="100"/>
    <n v="75"/>
    <n v="425"/>
    <n v="0.23529411764705882"/>
  </r>
  <r>
    <n v="6"/>
    <s v="2026-05-18"/>
    <x v="3"/>
    <x v="1"/>
    <x v="4"/>
    <x v="0"/>
    <x v="4"/>
    <n v="13"/>
    <n v="150"/>
    <n v="15"/>
    <n v="1950"/>
    <n v="1267.5"/>
    <n v="390"/>
    <n v="292.5"/>
    <n v="1657.5"/>
    <n v="0.23529411764705882"/>
  </r>
  <r>
    <n v="7"/>
    <s v="2026-01-18"/>
    <x v="1"/>
    <x v="1"/>
    <x v="0"/>
    <x v="1"/>
    <x v="3"/>
    <n v="14"/>
    <n v="2500"/>
    <n v="5"/>
    <n v="35000"/>
    <n v="22750"/>
    <n v="10500"/>
    <n v="1750"/>
    <n v="33250"/>
    <n v="0.31578947368421051"/>
  </r>
  <r>
    <n v="8"/>
    <s v="2026-04-08"/>
    <x v="4"/>
    <x v="3"/>
    <x v="4"/>
    <x v="1"/>
    <x v="3"/>
    <n v="2"/>
    <n v="800"/>
    <n v="0"/>
    <n v="1600"/>
    <n v="1040"/>
    <n v="560"/>
    <n v="0"/>
    <n v="1600"/>
    <n v="0.35"/>
  </r>
  <r>
    <n v="9"/>
    <s v="2026-02-23"/>
    <x v="0"/>
    <x v="3"/>
    <x v="0"/>
    <x v="0"/>
    <x v="4"/>
    <n v="3"/>
    <n v="2500"/>
    <n v="10"/>
    <n v="7500"/>
    <n v="4875"/>
    <n v="1875"/>
    <n v="750"/>
    <n v="6750"/>
    <n v="0.27777777777777779"/>
  </r>
  <r>
    <n v="10"/>
    <s v="2026-02-11"/>
    <x v="0"/>
    <x v="2"/>
    <x v="4"/>
    <x v="0"/>
    <x v="0"/>
    <n v="10"/>
    <n v="500"/>
    <n v="5"/>
    <n v="5000"/>
    <n v="3250"/>
    <n v="1500"/>
    <n v="250"/>
    <n v="4750"/>
    <n v="0.31578947368421051"/>
  </r>
  <r>
    <n v="11"/>
    <s v="2026-02-28"/>
    <x v="0"/>
    <x v="1"/>
    <x v="3"/>
    <x v="2"/>
    <x v="5"/>
    <n v="11"/>
    <n v="2500"/>
    <n v="0"/>
    <n v="27500"/>
    <n v="17875"/>
    <n v="9625"/>
    <n v="0"/>
    <n v="27500"/>
    <n v="0.35"/>
  </r>
  <r>
    <n v="12"/>
    <s v="2026-02-24"/>
    <x v="0"/>
    <x v="2"/>
    <x v="4"/>
    <x v="2"/>
    <x v="6"/>
    <n v="2"/>
    <n v="800"/>
    <n v="10"/>
    <n v="1600"/>
    <n v="1040"/>
    <n v="400"/>
    <n v="160"/>
    <n v="1440"/>
    <n v="0.27777777777777779"/>
  </r>
  <r>
    <n v="13"/>
    <s v="2026-03-05"/>
    <x v="2"/>
    <x v="3"/>
    <x v="0"/>
    <x v="0"/>
    <x v="7"/>
    <n v="3"/>
    <n v="1200"/>
    <n v="5"/>
    <n v="3600"/>
    <n v="2340"/>
    <n v="1080"/>
    <n v="180"/>
    <n v="3420"/>
    <n v="0.31578947368421051"/>
  </r>
  <r>
    <n v="14"/>
    <s v="2026-02-26"/>
    <x v="0"/>
    <x v="0"/>
    <x v="2"/>
    <x v="0"/>
    <x v="7"/>
    <n v="15"/>
    <n v="5000"/>
    <n v="10"/>
    <n v="75000"/>
    <n v="48750"/>
    <n v="18750"/>
    <n v="7500"/>
    <n v="67500"/>
    <n v="0.27777777777777779"/>
  </r>
  <r>
    <n v="15"/>
    <s v="2026-02-09"/>
    <x v="0"/>
    <x v="0"/>
    <x v="0"/>
    <x v="2"/>
    <x v="2"/>
    <n v="13"/>
    <n v="150"/>
    <n v="0"/>
    <n v="1950"/>
    <n v="1267.5"/>
    <n v="682.5"/>
    <n v="0"/>
    <n v="1950"/>
    <n v="0.35"/>
  </r>
  <r>
    <n v="16"/>
    <s v="2026-05-16"/>
    <x v="3"/>
    <x v="3"/>
    <x v="2"/>
    <x v="2"/>
    <x v="2"/>
    <n v="7"/>
    <n v="5000"/>
    <n v="15"/>
    <n v="35000"/>
    <n v="22750"/>
    <n v="7000"/>
    <n v="5250"/>
    <n v="29750"/>
    <n v="0.23529411764705882"/>
  </r>
  <r>
    <n v="17"/>
    <s v="2026-01-29"/>
    <x v="1"/>
    <x v="3"/>
    <x v="4"/>
    <x v="1"/>
    <x v="1"/>
    <n v="11"/>
    <n v="1200"/>
    <n v="10"/>
    <n v="13200"/>
    <n v="8580"/>
    <n v="3300"/>
    <n v="1320"/>
    <n v="11880"/>
    <n v="0.27777777777777779"/>
  </r>
  <r>
    <n v="18"/>
    <s v="2026-05-10"/>
    <x v="3"/>
    <x v="1"/>
    <x v="0"/>
    <x v="1"/>
    <x v="8"/>
    <n v="1"/>
    <n v="1200"/>
    <n v="5"/>
    <n v="1200"/>
    <n v="780"/>
    <n v="360"/>
    <n v="60"/>
    <n v="1140"/>
    <n v="0.31578947368421051"/>
  </r>
  <r>
    <n v="19"/>
    <s v="2026-05-19"/>
    <x v="3"/>
    <x v="1"/>
    <x v="2"/>
    <x v="2"/>
    <x v="5"/>
    <n v="3"/>
    <n v="2500"/>
    <n v="5"/>
    <n v="7500"/>
    <n v="4875"/>
    <n v="2250"/>
    <n v="375"/>
    <n v="7125"/>
    <n v="0.31578947368421051"/>
  </r>
  <r>
    <n v="20"/>
    <s v="2026-03-20"/>
    <x v="2"/>
    <x v="0"/>
    <x v="5"/>
    <x v="2"/>
    <x v="9"/>
    <n v="1"/>
    <n v="250"/>
    <n v="10"/>
    <n v="250"/>
    <n v="162.5"/>
    <n v="62.5"/>
    <n v="25"/>
    <n v="225"/>
    <n v="0.27777777777777779"/>
  </r>
  <r>
    <n v="21"/>
    <s v="2026-05-17"/>
    <x v="3"/>
    <x v="0"/>
    <x v="1"/>
    <x v="1"/>
    <x v="1"/>
    <n v="2"/>
    <n v="12000"/>
    <n v="0"/>
    <n v="24000"/>
    <n v="15600"/>
    <n v="8400"/>
    <n v="0"/>
    <n v="24000"/>
    <n v="0.35"/>
  </r>
  <r>
    <n v="22"/>
    <s v="2026-05-16"/>
    <x v="3"/>
    <x v="2"/>
    <x v="1"/>
    <x v="0"/>
    <x v="7"/>
    <n v="9"/>
    <n v="500"/>
    <n v="10"/>
    <n v="4500"/>
    <n v="2925"/>
    <n v="1125"/>
    <n v="450"/>
    <n v="4050"/>
    <n v="0.27777777777777779"/>
  </r>
  <r>
    <n v="23"/>
    <s v="2026-06-21"/>
    <x v="5"/>
    <x v="3"/>
    <x v="4"/>
    <x v="0"/>
    <x v="10"/>
    <n v="12"/>
    <n v="1200"/>
    <n v="15"/>
    <n v="14400"/>
    <n v="9360"/>
    <n v="2880"/>
    <n v="2160"/>
    <n v="12240"/>
    <n v="0.23529411764705882"/>
  </r>
  <r>
    <n v="24"/>
    <s v="2026-01-17"/>
    <x v="1"/>
    <x v="3"/>
    <x v="5"/>
    <x v="0"/>
    <x v="7"/>
    <n v="2"/>
    <n v="800"/>
    <n v="5"/>
    <n v="1600"/>
    <n v="1040"/>
    <n v="480"/>
    <n v="80"/>
    <n v="1520"/>
    <n v="0.31578947368421051"/>
  </r>
  <r>
    <n v="25"/>
    <s v="2026-01-19"/>
    <x v="1"/>
    <x v="1"/>
    <x v="1"/>
    <x v="0"/>
    <x v="10"/>
    <n v="10"/>
    <n v="800"/>
    <n v="0"/>
    <n v="8000"/>
    <n v="5200"/>
    <n v="2800"/>
    <n v="0"/>
    <n v="8000"/>
    <n v="0.35"/>
  </r>
  <r>
    <n v="26"/>
    <s v="2026-05-12"/>
    <x v="3"/>
    <x v="0"/>
    <x v="3"/>
    <x v="1"/>
    <x v="1"/>
    <n v="14"/>
    <n v="2500"/>
    <n v="0"/>
    <n v="35000"/>
    <n v="22750"/>
    <n v="12250"/>
    <n v="0"/>
    <n v="35000"/>
    <n v="0.35"/>
  </r>
  <r>
    <n v="27"/>
    <s v="2026-03-04"/>
    <x v="2"/>
    <x v="2"/>
    <x v="4"/>
    <x v="0"/>
    <x v="7"/>
    <n v="4"/>
    <n v="500"/>
    <n v="15"/>
    <n v="2000"/>
    <n v="1300"/>
    <n v="400"/>
    <n v="300"/>
    <n v="1700"/>
    <n v="0.23529411764705882"/>
  </r>
  <r>
    <n v="28"/>
    <s v="2026-04-19"/>
    <x v="4"/>
    <x v="2"/>
    <x v="4"/>
    <x v="1"/>
    <x v="1"/>
    <n v="2"/>
    <n v="5000"/>
    <n v="10"/>
    <n v="10000"/>
    <n v="6500"/>
    <n v="2500"/>
    <n v="1000"/>
    <n v="9000"/>
    <n v="0.27777777777777779"/>
  </r>
  <r>
    <n v="29"/>
    <s v="2026-04-14"/>
    <x v="4"/>
    <x v="3"/>
    <x v="5"/>
    <x v="0"/>
    <x v="0"/>
    <n v="11"/>
    <n v="250"/>
    <n v="0"/>
    <n v="2750"/>
    <n v="1787.5"/>
    <n v="962.5"/>
    <n v="0"/>
    <n v="2750"/>
    <n v="0.35"/>
  </r>
  <r>
    <n v="30"/>
    <s v="2026-04-19"/>
    <x v="4"/>
    <x v="0"/>
    <x v="3"/>
    <x v="1"/>
    <x v="11"/>
    <n v="4"/>
    <n v="12000"/>
    <n v="5"/>
    <n v="48000"/>
    <n v="31200"/>
    <n v="14400"/>
    <n v="2400"/>
    <n v="45600"/>
    <n v="0.31578947368421051"/>
  </r>
  <r>
    <n v="31"/>
    <s v="2026-05-21"/>
    <x v="3"/>
    <x v="1"/>
    <x v="5"/>
    <x v="2"/>
    <x v="5"/>
    <n v="14"/>
    <n v="250"/>
    <n v="15"/>
    <n v="3500"/>
    <n v="2275"/>
    <n v="700"/>
    <n v="525"/>
    <n v="2975"/>
    <n v="0.23529411764705882"/>
  </r>
  <r>
    <n v="32"/>
    <s v="2026-04-15"/>
    <x v="4"/>
    <x v="2"/>
    <x v="4"/>
    <x v="0"/>
    <x v="0"/>
    <n v="2"/>
    <n v="800"/>
    <n v="5"/>
    <n v="1600"/>
    <n v="1040"/>
    <n v="480"/>
    <n v="80"/>
    <n v="1520"/>
    <n v="0.31578947368421051"/>
  </r>
  <r>
    <n v="33"/>
    <s v="2026-04-08"/>
    <x v="4"/>
    <x v="1"/>
    <x v="4"/>
    <x v="1"/>
    <x v="8"/>
    <n v="15"/>
    <n v="150"/>
    <n v="5"/>
    <n v="2250"/>
    <n v="1462.5"/>
    <n v="675"/>
    <n v="112.5"/>
    <n v="2137.5"/>
    <n v="0.31578947368421051"/>
  </r>
  <r>
    <n v="34"/>
    <s v="2026-02-09"/>
    <x v="0"/>
    <x v="0"/>
    <x v="3"/>
    <x v="2"/>
    <x v="9"/>
    <n v="5"/>
    <n v="5000"/>
    <n v="15"/>
    <n v="25000"/>
    <n v="16250"/>
    <n v="5000"/>
    <n v="3750"/>
    <n v="21250"/>
    <n v="0.23529411764705882"/>
  </r>
  <r>
    <n v="35"/>
    <s v="2026-01-15"/>
    <x v="1"/>
    <x v="1"/>
    <x v="2"/>
    <x v="1"/>
    <x v="1"/>
    <n v="10"/>
    <n v="150"/>
    <n v="10"/>
    <n v="1500"/>
    <n v="975"/>
    <n v="375"/>
    <n v="150"/>
    <n v="1350"/>
    <n v="0.27777777777777779"/>
  </r>
  <r>
    <n v="36"/>
    <s v="2026-01-18"/>
    <x v="1"/>
    <x v="1"/>
    <x v="0"/>
    <x v="2"/>
    <x v="5"/>
    <n v="1"/>
    <n v="250"/>
    <n v="5"/>
    <n v="250"/>
    <n v="162.5"/>
    <n v="75"/>
    <n v="12.5"/>
    <n v="237.5"/>
    <n v="0.31578947368421051"/>
  </r>
  <r>
    <n v="37"/>
    <s v="2026-06-08"/>
    <x v="5"/>
    <x v="1"/>
    <x v="4"/>
    <x v="1"/>
    <x v="8"/>
    <n v="2"/>
    <n v="800"/>
    <n v="0"/>
    <n v="1600"/>
    <n v="1040"/>
    <n v="560"/>
    <n v="0"/>
    <n v="1600"/>
    <n v="0.35"/>
  </r>
  <r>
    <n v="38"/>
    <s v="2026-06-21"/>
    <x v="5"/>
    <x v="3"/>
    <x v="1"/>
    <x v="0"/>
    <x v="4"/>
    <n v="15"/>
    <n v="1200"/>
    <n v="5"/>
    <n v="18000"/>
    <n v="11700"/>
    <n v="5400"/>
    <n v="900"/>
    <n v="17100"/>
    <n v="0.31578947368421051"/>
  </r>
  <r>
    <n v="39"/>
    <s v="2026-03-22"/>
    <x v="2"/>
    <x v="1"/>
    <x v="5"/>
    <x v="2"/>
    <x v="9"/>
    <n v="3"/>
    <n v="1200"/>
    <n v="15"/>
    <n v="3600"/>
    <n v="2340"/>
    <n v="720"/>
    <n v="540"/>
    <n v="3060"/>
    <n v="0.23529411764705882"/>
  </r>
  <r>
    <n v="40"/>
    <s v="2026-02-03"/>
    <x v="0"/>
    <x v="3"/>
    <x v="5"/>
    <x v="2"/>
    <x v="2"/>
    <n v="2"/>
    <n v="800"/>
    <n v="10"/>
    <n v="1600"/>
    <n v="1040"/>
    <n v="400"/>
    <n v="160"/>
    <n v="1440"/>
    <n v="0.27777777777777779"/>
  </r>
  <r>
    <n v="41"/>
    <s v="2026-05-20"/>
    <x v="3"/>
    <x v="3"/>
    <x v="2"/>
    <x v="1"/>
    <x v="3"/>
    <n v="5"/>
    <n v="500"/>
    <n v="15"/>
    <n v="2500"/>
    <n v="1625"/>
    <n v="500"/>
    <n v="375"/>
    <n v="2125"/>
    <n v="0.23529411764705882"/>
  </r>
  <r>
    <n v="42"/>
    <s v="2026-02-04"/>
    <x v="0"/>
    <x v="3"/>
    <x v="5"/>
    <x v="0"/>
    <x v="0"/>
    <n v="11"/>
    <n v="1200"/>
    <n v="0"/>
    <n v="13200"/>
    <n v="8580"/>
    <n v="4620"/>
    <n v="0"/>
    <n v="13200"/>
    <n v="0.35"/>
  </r>
  <r>
    <n v="43"/>
    <s v="2026-03-29"/>
    <x v="2"/>
    <x v="0"/>
    <x v="0"/>
    <x v="1"/>
    <x v="11"/>
    <n v="5"/>
    <n v="1200"/>
    <n v="5"/>
    <n v="6000"/>
    <n v="3900"/>
    <n v="1800"/>
    <n v="300"/>
    <n v="5700"/>
    <n v="0.31578947368421051"/>
  </r>
  <r>
    <n v="44"/>
    <s v="2026-01-14"/>
    <x v="1"/>
    <x v="1"/>
    <x v="0"/>
    <x v="0"/>
    <x v="4"/>
    <n v="9"/>
    <n v="12000"/>
    <n v="10"/>
    <n v="108000"/>
    <n v="70200"/>
    <n v="27000"/>
    <n v="10800"/>
    <n v="97200"/>
    <n v="0.27777777777777779"/>
  </r>
  <r>
    <n v="45"/>
    <s v="2026-02-03"/>
    <x v="0"/>
    <x v="3"/>
    <x v="1"/>
    <x v="2"/>
    <x v="6"/>
    <n v="1"/>
    <n v="150"/>
    <n v="10"/>
    <n v="150"/>
    <n v="97.5"/>
    <n v="37.5"/>
    <n v="15"/>
    <n v="135"/>
    <n v="0.27777777777777779"/>
  </r>
  <r>
    <n v="46"/>
    <s v="2026-01-29"/>
    <x v="1"/>
    <x v="1"/>
    <x v="0"/>
    <x v="0"/>
    <x v="7"/>
    <n v="9"/>
    <n v="5000"/>
    <n v="0"/>
    <n v="45000"/>
    <n v="29250"/>
    <n v="15750"/>
    <n v="0"/>
    <n v="45000"/>
    <n v="0.35"/>
  </r>
  <r>
    <n v="47"/>
    <s v="2026-04-21"/>
    <x v="4"/>
    <x v="0"/>
    <x v="5"/>
    <x v="1"/>
    <x v="1"/>
    <n v="14"/>
    <n v="2500"/>
    <n v="5"/>
    <n v="35000"/>
    <n v="22750"/>
    <n v="10500"/>
    <n v="1750"/>
    <n v="33250"/>
    <n v="0.31578947368421051"/>
  </r>
  <r>
    <n v="48"/>
    <s v="2026-02-23"/>
    <x v="0"/>
    <x v="0"/>
    <x v="0"/>
    <x v="2"/>
    <x v="6"/>
    <n v="15"/>
    <n v="150"/>
    <n v="10"/>
    <n v="2250"/>
    <n v="1462.5"/>
    <n v="562.5"/>
    <n v="225"/>
    <n v="2025"/>
    <n v="0.27777777777777779"/>
  </r>
  <r>
    <n v="49"/>
    <s v="2026-03-02"/>
    <x v="2"/>
    <x v="0"/>
    <x v="1"/>
    <x v="1"/>
    <x v="3"/>
    <n v="13"/>
    <n v="5000"/>
    <n v="5"/>
    <n v="65000"/>
    <n v="42250"/>
    <n v="19500"/>
    <n v="3250"/>
    <n v="61750"/>
    <n v="0.31578947368421051"/>
  </r>
  <r>
    <n v="50"/>
    <s v="2026-06-21"/>
    <x v="5"/>
    <x v="0"/>
    <x v="3"/>
    <x v="2"/>
    <x v="2"/>
    <n v="3"/>
    <n v="2500"/>
    <n v="15"/>
    <n v="7500"/>
    <n v="4875"/>
    <n v="1500"/>
    <n v="1125"/>
    <n v="6375"/>
    <n v="0.23529411764705882"/>
  </r>
  <r>
    <n v="51"/>
    <s v="2026-02-26"/>
    <x v="0"/>
    <x v="0"/>
    <x v="4"/>
    <x v="1"/>
    <x v="1"/>
    <n v="7"/>
    <n v="150"/>
    <n v="15"/>
    <n v="1050"/>
    <n v="682.5"/>
    <n v="210"/>
    <n v="157.5"/>
    <n v="892.5"/>
    <n v="0.23529411764705882"/>
  </r>
  <r>
    <n v="52"/>
    <s v="2026-01-07"/>
    <x v="1"/>
    <x v="0"/>
    <x v="4"/>
    <x v="2"/>
    <x v="6"/>
    <n v="14"/>
    <n v="800"/>
    <n v="5"/>
    <n v="11200"/>
    <n v="7280"/>
    <n v="3360"/>
    <n v="560"/>
    <n v="10640"/>
    <n v="0.31578947368421051"/>
  </r>
  <r>
    <n v="53"/>
    <s v="2026-03-31"/>
    <x v="2"/>
    <x v="2"/>
    <x v="0"/>
    <x v="2"/>
    <x v="6"/>
    <n v="14"/>
    <n v="250"/>
    <n v="10"/>
    <n v="3500"/>
    <n v="2275"/>
    <n v="875"/>
    <n v="350"/>
    <n v="3150"/>
    <n v="0.27777777777777779"/>
  </r>
  <r>
    <n v="54"/>
    <s v="2026-02-15"/>
    <x v="0"/>
    <x v="3"/>
    <x v="5"/>
    <x v="0"/>
    <x v="4"/>
    <n v="1"/>
    <n v="250"/>
    <n v="10"/>
    <n v="250"/>
    <n v="162.5"/>
    <n v="62.5"/>
    <n v="25"/>
    <n v="225"/>
    <n v="0.27777777777777779"/>
  </r>
  <r>
    <n v="55"/>
    <s v="2026-06-05"/>
    <x v="5"/>
    <x v="1"/>
    <x v="4"/>
    <x v="1"/>
    <x v="8"/>
    <n v="6"/>
    <n v="2500"/>
    <n v="15"/>
    <n v="15000"/>
    <n v="9750"/>
    <n v="3000"/>
    <n v="2250"/>
    <n v="12750"/>
    <n v="0.23529411764705882"/>
  </r>
  <r>
    <n v="56"/>
    <s v="2026-01-01"/>
    <x v="1"/>
    <x v="0"/>
    <x v="3"/>
    <x v="0"/>
    <x v="10"/>
    <n v="5"/>
    <n v="150"/>
    <n v="15"/>
    <n v="750"/>
    <n v="487.5"/>
    <n v="150"/>
    <n v="112.5"/>
    <n v="637.5"/>
    <n v="0.23529411764705882"/>
  </r>
  <r>
    <n v="57"/>
    <s v="2026-06-19"/>
    <x v="5"/>
    <x v="1"/>
    <x v="0"/>
    <x v="2"/>
    <x v="2"/>
    <n v="11"/>
    <n v="2500"/>
    <n v="10"/>
    <n v="27500"/>
    <n v="17875"/>
    <n v="6875"/>
    <n v="2750"/>
    <n v="24750"/>
    <n v="0.27777777777777779"/>
  </r>
  <r>
    <n v="58"/>
    <s v="2026-04-14"/>
    <x v="4"/>
    <x v="3"/>
    <x v="2"/>
    <x v="2"/>
    <x v="6"/>
    <n v="11"/>
    <n v="5000"/>
    <n v="10"/>
    <n v="55000"/>
    <n v="35750"/>
    <n v="13750"/>
    <n v="5500"/>
    <n v="49500"/>
    <n v="0.27777777777777779"/>
  </r>
  <r>
    <n v="59"/>
    <s v="2026-06-07"/>
    <x v="5"/>
    <x v="3"/>
    <x v="4"/>
    <x v="1"/>
    <x v="11"/>
    <n v="7"/>
    <n v="5000"/>
    <n v="5"/>
    <n v="35000"/>
    <n v="22750"/>
    <n v="10500"/>
    <n v="1750"/>
    <n v="33250"/>
    <n v="0.31578947368421051"/>
  </r>
  <r>
    <n v="60"/>
    <s v="2026-04-21"/>
    <x v="4"/>
    <x v="3"/>
    <x v="4"/>
    <x v="0"/>
    <x v="0"/>
    <n v="5"/>
    <n v="1200"/>
    <n v="5"/>
    <n v="6000"/>
    <n v="3900"/>
    <n v="1800"/>
    <n v="300"/>
    <n v="5700"/>
    <n v="0.31578947368421051"/>
  </r>
  <r>
    <n v="61"/>
    <s v="2026-02-13"/>
    <x v="0"/>
    <x v="1"/>
    <x v="3"/>
    <x v="2"/>
    <x v="9"/>
    <n v="11"/>
    <n v="800"/>
    <n v="15"/>
    <n v="8800"/>
    <n v="5720"/>
    <n v="1760"/>
    <n v="1320"/>
    <n v="7480"/>
    <n v="0.23529411764705882"/>
  </r>
  <r>
    <n v="62"/>
    <s v="2026-02-27"/>
    <x v="0"/>
    <x v="0"/>
    <x v="1"/>
    <x v="0"/>
    <x v="4"/>
    <n v="2"/>
    <n v="800"/>
    <n v="10"/>
    <n v="1600"/>
    <n v="1040"/>
    <n v="400"/>
    <n v="160"/>
    <n v="1440"/>
    <n v="0.27777777777777779"/>
  </r>
  <r>
    <n v="63"/>
    <s v="2026-04-27"/>
    <x v="4"/>
    <x v="2"/>
    <x v="0"/>
    <x v="1"/>
    <x v="1"/>
    <n v="4"/>
    <n v="12000"/>
    <n v="0"/>
    <n v="48000"/>
    <n v="31200"/>
    <n v="16800"/>
    <n v="0"/>
    <n v="48000"/>
    <n v="0.35"/>
  </r>
  <r>
    <n v="64"/>
    <s v="2026-04-13"/>
    <x v="4"/>
    <x v="0"/>
    <x v="1"/>
    <x v="0"/>
    <x v="10"/>
    <n v="12"/>
    <n v="5000"/>
    <n v="15"/>
    <n v="60000"/>
    <n v="39000"/>
    <n v="12000"/>
    <n v="9000"/>
    <n v="51000"/>
    <n v="0.23529411764705882"/>
  </r>
  <r>
    <n v="65"/>
    <s v="2026-02-26"/>
    <x v="0"/>
    <x v="0"/>
    <x v="0"/>
    <x v="0"/>
    <x v="0"/>
    <n v="15"/>
    <n v="250"/>
    <n v="15"/>
    <n v="3750"/>
    <n v="2437.5"/>
    <n v="750"/>
    <n v="562.5"/>
    <n v="3187.5"/>
    <n v="0.23529411764705882"/>
  </r>
  <r>
    <n v="66"/>
    <s v="2026-04-27"/>
    <x v="4"/>
    <x v="0"/>
    <x v="4"/>
    <x v="0"/>
    <x v="7"/>
    <n v="1"/>
    <n v="800"/>
    <n v="0"/>
    <n v="800"/>
    <n v="520"/>
    <n v="280"/>
    <n v="0"/>
    <n v="800"/>
    <n v="0.35"/>
  </r>
  <r>
    <n v="67"/>
    <s v="2026-05-21"/>
    <x v="3"/>
    <x v="2"/>
    <x v="1"/>
    <x v="0"/>
    <x v="4"/>
    <n v="13"/>
    <n v="12000"/>
    <n v="15"/>
    <n v="156000"/>
    <n v="101400"/>
    <n v="31200"/>
    <n v="23400"/>
    <n v="132600"/>
    <n v="0.23529411764705882"/>
  </r>
  <r>
    <n v="68"/>
    <s v="2026-06-13"/>
    <x v="5"/>
    <x v="3"/>
    <x v="2"/>
    <x v="0"/>
    <x v="7"/>
    <n v="8"/>
    <n v="1200"/>
    <n v="5"/>
    <n v="9600"/>
    <n v="6240"/>
    <n v="2880"/>
    <n v="480"/>
    <n v="9120"/>
    <n v="0.31578947368421051"/>
  </r>
  <r>
    <n v="69"/>
    <s v="2026-03-15"/>
    <x v="2"/>
    <x v="0"/>
    <x v="3"/>
    <x v="2"/>
    <x v="5"/>
    <n v="5"/>
    <n v="12000"/>
    <n v="0"/>
    <n v="60000"/>
    <n v="39000"/>
    <n v="21000"/>
    <n v="0"/>
    <n v="60000"/>
    <n v="0.35"/>
  </r>
  <r>
    <n v="70"/>
    <s v="2026-02-08"/>
    <x v="0"/>
    <x v="0"/>
    <x v="4"/>
    <x v="2"/>
    <x v="6"/>
    <n v="15"/>
    <n v="250"/>
    <n v="5"/>
    <n v="3750"/>
    <n v="2437.5"/>
    <n v="1125"/>
    <n v="187.5"/>
    <n v="3562.5"/>
    <n v="0.31578947368421051"/>
  </r>
  <r>
    <n v="71"/>
    <s v="2026-04-17"/>
    <x v="4"/>
    <x v="2"/>
    <x v="3"/>
    <x v="0"/>
    <x v="10"/>
    <n v="12"/>
    <n v="800"/>
    <n v="0"/>
    <n v="9600"/>
    <n v="6240"/>
    <n v="3360"/>
    <n v="0"/>
    <n v="9600"/>
    <n v="0.35"/>
  </r>
  <r>
    <n v="72"/>
    <s v="2026-04-18"/>
    <x v="4"/>
    <x v="2"/>
    <x v="2"/>
    <x v="0"/>
    <x v="7"/>
    <n v="7"/>
    <n v="150"/>
    <n v="5"/>
    <n v="1050"/>
    <n v="682.5"/>
    <n v="315"/>
    <n v="52.5"/>
    <n v="997.5"/>
    <n v="0.31578947368421051"/>
  </r>
  <r>
    <n v="73"/>
    <s v="2026-01-02"/>
    <x v="1"/>
    <x v="3"/>
    <x v="3"/>
    <x v="0"/>
    <x v="0"/>
    <n v="14"/>
    <n v="5000"/>
    <n v="15"/>
    <n v="70000"/>
    <n v="45500"/>
    <n v="14000"/>
    <n v="10500"/>
    <n v="59500"/>
    <n v="0.23529411764705882"/>
  </r>
  <r>
    <n v="74"/>
    <s v="2026-02-26"/>
    <x v="0"/>
    <x v="3"/>
    <x v="4"/>
    <x v="2"/>
    <x v="9"/>
    <n v="9"/>
    <n v="800"/>
    <n v="15"/>
    <n v="7200"/>
    <n v="4680"/>
    <n v="1440"/>
    <n v="1080"/>
    <n v="6120"/>
    <n v="0.23529411764705882"/>
  </r>
  <r>
    <n v="75"/>
    <s v="2026-02-12"/>
    <x v="0"/>
    <x v="2"/>
    <x v="1"/>
    <x v="2"/>
    <x v="2"/>
    <n v="7"/>
    <n v="2500"/>
    <n v="15"/>
    <n v="17500"/>
    <n v="11375"/>
    <n v="3500"/>
    <n v="2625"/>
    <n v="14875"/>
    <n v="0.23529411764705882"/>
  </r>
  <r>
    <n v="76"/>
    <s v="2026-01-22"/>
    <x v="1"/>
    <x v="2"/>
    <x v="1"/>
    <x v="0"/>
    <x v="0"/>
    <n v="15"/>
    <n v="5000"/>
    <n v="0"/>
    <n v="75000"/>
    <n v="48750"/>
    <n v="26250"/>
    <n v="0"/>
    <n v="75000"/>
    <n v="0.35"/>
  </r>
  <r>
    <n v="77"/>
    <s v="2026-03-25"/>
    <x v="2"/>
    <x v="0"/>
    <x v="4"/>
    <x v="2"/>
    <x v="5"/>
    <n v="1"/>
    <n v="1200"/>
    <n v="15"/>
    <n v="1200"/>
    <n v="780"/>
    <n v="240"/>
    <n v="180"/>
    <n v="1020"/>
    <n v="0.23529411764705882"/>
  </r>
  <r>
    <n v="78"/>
    <s v="2026-04-18"/>
    <x v="4"/>
    <x v="3"/>
    <x v="5"/>
    <x v="2"/>
    <x v="6"/>
    <n v="13"/>
    <n v="5000"/>
    <n v="10"/>
    <n v="65000"/>
    <n v="42250"/>
    <n v="16250"/>
    <n v="6500"/>
    <n v="58500"/>
    <n v="0.27777777777777779"/>
  </r>
  <r>
    <n v="79"/>
    <s v="2026-02-27"/>
    <x v="0"/>
    <x v="1"/>
    <x v="0"/>
    <x v="2"/>
    <x v="2"/>
    <n v="12"/>
    <n v="150"/>
    <n v="10"/>
    <n v="1800"/>
    <n v="1170"/>
    <n v="450"/>
    <n v="180"/>
    <n v="1620"/>
    <n v="0.27777777777777779"/>
  </r>
  <r>
    <n v="80"/>
    <s v="2026-06-09"/>
    <x v="5"/>
    <x v="0"/>
    <x v="1"/>
    <x v="1"/>
    <x v="1"/>
    <n v="4"/>
    <n v="800"/>
    <n v="0"/>
    <n v="3200"/>
    <n v="2080"/>
    <n v="1120"/>
    <n v="0"/>
    <n v="3200"/>
    <n v="0.35"/>
  </r>
  <r>
    <n v="81"/>
    <s v="2026-04-30"/>
    <x v="4"/>
    <x v="3"/>
    <x v="3"/>
    <x v="1"/>
    <x v="8"/>
    <n v="11"/>
    <n v="250"/>
    <n v="5"/>
    <n v="2750"/>
    <n v="1787.5"/>
    <n v="825"/>
    <n v="137.5"/>
    <n v="2612.5"/>
    <n v="0.31578947368421051"/>
  </r>
  <r>
    <n v="82"/>
    <s v="2026-01-28"/>
    <x v="1"/>
    <x v="1"/>
    <x v="3"/>
    <x v="1"/>
    <x v="1"/>
    <n v="13"/>
    <n v="500"/>
    <n v="10"/>
    <n v="6500"/>
    <n v="4225"/>
    <n v="1625"/>
    <n v="650"/>
    <n v="5850"/>
    <n v="0.27777777777777779"/>
  </r>
  <r>
    <n v="83"/>
    <s v="2026-06-01"/>
    <x v="5"/>
    <x v="0"/>
    <x v="5"/>
    <x v="0"/>
    <x v="7"/>
    <n v="7"/>
    <n v="800"/>
    <n v="0"/>
    <n v="5600"/>
    <n v="3640"/>
    <n v="1960"/>
    <n v="0"/>
    <n v="5600"/>
    <n v="0.35"/>
  </r>
  <r>
    <n v="84"/>
    <s v="2026-03-30"/>
    <x v="2"/>
    <x v="2"/>
    <x v="0"/>
    <x v="0"/>
    <x v="4"/>
    <n v="14"/>
    <n v="250"/>
    <n v="0"/>
    <n v="3500"/>
    <n v="2275"/>
    <n v="1225"/>
    <n v="0"/>
    <n v="3500"/>
    <n v="0.35"/>
  </r>
  <r>
    <n v="85"/>
    <s v="2026-04-18"/>
    <x v="4"/>
    <x v="2"/>
    <x v="5"/>
    <x v="2"/>
    <x v="2"/>
    <n v="9"/>
    <n v="2500"/>
    <n v="0"/>
    <n v="22500"/>
    <n v="14625"/>
    <n v="7875"/>
    <n v="0"/>
    <n v="22500"/>
    <n v="0.35"/>
  </r>
  <r>
    <n v="86"/>
    <s v="2026-04-22"/>
    <x v="4"/>
    <x v="0"/>
    <x v="0"/>
    <x v="2"/>
    <x v="6"/>
    <n v="11"/>
    <n v="12000"/>
    <n v="5"/>
    <n v="132000"/>
    <n v="85800"/>
    <n v="39600"/>
    <n v="6600"/>
    <n v="125400"/>
    <n v="0.31578947368421051"/>
  </r>
  <r>
    <n v="87"/>
    <s v="2026-04-22"/>
    <x v="4"/>
    <x v="3"/>
    <x v="3"/>
    <x v="0"/>
    <x v="4"/>
    <n v="10"/>
    <n v="12000"/>
    <n v="15"/>
    <n v="120000"/>
    <n v="78000"/>
    <n v="24000"/>
    <n v="18000"/>
    <n v="102000"/>
    <n v="0.23529411764705882"/>
  </r>
  <r>
    <n v="88"/>
    <s v="2026-04-29"/>
    <x v="4"/>
    <x v="2"/>
    <x v="3"/>
    <x v="1"/>
    <x v="1"/>
    <n v="5"/>
    <n v="12000"/>
    <n v="5"/>
    <n v="60000"/>
    <n v="39000"/>
    <n v="18000"/>
    <n v="3000"/>
    <n v="57000"/>
    <n v="0.31578947368421051"/>
  </r>
  <r>
    <n v="89"/>
    <s v="2026-05-05"/>
    <x v="3"/>
    <x v="0"/>
    <x v="3"/>
    <x v="1"/>
    <x v="8"/>
    <n v="14"/>
    <n v="2500"/>
    <n v="5"/>
    <n v="35000"/>
    <n v="22750"/>
    <n v="10500"/>
    <n v="1750"/>
    <n v="33250"/>
    <n v="0.31578947368421051"/>
  </r>
  <r>
    <n v="90"/>
    <s v="2026-05-13"/>
    <x v="3"/>
    <x v="0"/>
    <x v="5"/>
    <x v="2"/>
    <x v="6"/>
    <n v="5"/>
    <n v="1200"/>
    <n v="0"/>
    <n v="6000"/>
    <n v="3900"/>
    <n v="2100"/>
    <n v="0"/>
    <n v="6000"/>
    <n v="0.35"/>
  </r>
  <r>
    <n v="91"/>
    <s v="2026-06-15"/>
    <x v="5"/>
    <x v="2"/>
    <x v="4"/>
    <x v="1"/>
    <x v="8"/>
    <n v="8"/>
    <n v="800"/>
    <n v="15"/>
    <n v="6400"/>
    <n v="4160"/>
    <n v="1280"/>
    <n v="960"/>
    <n v="5440"/>
    <n v="0.23529411764705882"/>
  </r>
  <r>
    <n v="92"/>
    <s v="2026-06-27"/>
    <x v="5"/>
    <x v="0"/>
    <x v="3"/>
    <x v="1"/>
    <x v="1"/>
    <n v="5"/>
    <n v="800"/>
    <n v="15"/>
    <n v="4000"/>
    <n v="2600"/>
    <n v="800"/>
    <n v="600"/>
    <n v="3400"/>
    <n v="0.23529411764705882"/>
  </r>
  <r>
    <n v="93"/>
    <s v="2026-05-21"/>
    <x v="3"/>
    <x v="3"/>
    <x v="3"/>
    <x v="0"/>
    <x v="4"/>
    <n v="8"/>
    <n v="2500"/>
    <n v="15"/>
    <n v="20000"/>
    <n v="13000"/>
    <n v="4000"/>
    <n v="3000"/>
    <n v="17000"/>
    <n v="0.23529411764705882"/>
  </r>
  <r>
    <n v="94"/>
    <s v="2026-03-01"/>
    <x v="2"/>
    <x v="1"/>
    <x v="0"/>
    <x v="0"/>
    <x v="7"/>
    <n v="5"/>
    <n v="1200"/>
    <n v="10"/>
    <n v="6000"/>
    <n v="3900"/>
    <n v="1500"/>
    <n v="600"/>
    <n v="5400"/>
    <n v="0.27777777777777779"/>
  </r>
  <r>
    <n v="95"/>
    <s v="2026-02-25"/>
    <x v="0"/>
    <x v="2"/>
    <x v="3"/>
    <x v="1"/>
    <x v="3"/>
    <n v="2"/>
    <n v="500"/>
    <n v="5"/>
    <n v="1000"/>
    <n v="650"/>
    <n v="300"/>
    <n v="50"/>
    <n v="950"/>
    <n v="0.31578947368421051"/>
  </r>
  <r>
    <n v="96"/>
    <s v="2026-02-28"/>
    <x v="0"/>
    <x v="3"/>
    <x v="1"/>
    <x v="0"/>
    <x v="4"/>
    <n v="2"/>
    <n v="800"/>
    <n v="10"/>
    <n v="1600"/>
    <n v="1040"/>
    <n v="400"/>
    <n v="160"/>
    <n v="1440"/>
    <n v="0.27777777777777779"/>
  </r>
  <r>
    <n v="97"/>
    <s v="2026-01-12"/>
    <x v="1"/>
    <x v="1"/>
    <x v="2"/>
    <x v="2"/>
    <x v="2"/>
    <n v="12"/>
    <n v="500"/>
    <n v="10"/>
    <n v="6000"/>
    <n v="3900"/>
    <n v="1500"/>
    <n v="600"/>
    <n v="5400"/>
    <n v="0.27777777777777779"/>
  </r>
  <r>
    <n v="98"/>
    <s v="2026-01-04"/>
    <x v="1"/>
    <x v="3"/>
    <x v="4"/>
    <x v="2"/>
    <x v="5"/>
    <n v="11"/>
    <n v="12000"/>
    <n v="0"/>
    <n v="132000"/>
    <n v="85800"/>
    <n v="46200"/>
    <n v="0"/>
    <n v="132000"/>
    <n v="0.35"/>
  </r>
  <r>
    <n v="99"/>
    <s v="2026-03-06"/>
    <x v="2"/>
    <x v="2"/>
    <x v="5"/>
    <x v="2"/>
    <x v="9"/>
    <n v="6"/>
    <n v="500"/>
    <n v="0"/>
    <n v="3000"/>
    <n v="1950"/>
    <n v="1050"/>
    <n v="0"/>
    <n v="3000"/>
    <n v="0.35"/>
  </r>
  <r>
    <n v="100"/>
    <s v="2026-02-08"/>
    <x v="0"/>
    <x v="0"/>
    <x v="2"/>
    <x v="1"/>
    <x v="8"/>
    <n v="8"/>
    <n v="250"/>
    <n v="0"/>
    <n v="2000"/>
    <n v="1300"/>
    <n v="700"/>
    <n v="0"/>
    <n v="2000"/>
    <n v="0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ECD1D-08FC-406C-9CFC-EC2A8BAA3C16}" name="PivotTable3" cacheId="17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12:F17" firstHeaderRow="1" firstDataRow="1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Sales" fld="14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473F6-FA92-4ED1-B834-C5EA84C4BBB8}" name="PivotTable2" cacheId="17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4:F6" firstHeaderRow="1" firstDataRow="1" firstDataCol="1"/>
  <pivotFields count="16">
    <pivotField compact="0" outline="0" showAll="0"/>
    <pivotField compact="0" outline="0" showAll="0"/>
    <pivotField compact="0" outline="0" showAll="0">
      <items count="7">
        <item h="1" x="1"/>
        <item h="1" x="0"/>
        <item h="1" x="2"/>
        <item x="4"/>
        <item h="1" x="3"/>
        <item h="1" x="5"/>
        <item t="default"/>
      </items>
    </pivotField>
    <pivotField compact="0" outline="0" showAll="0">
      <items count="5">
        <item h="1" x="3"/>
        <item x="1"/>
        <item h="1" x="0"/>
        <item h="1" x="2"/>
        <item t="default"/>
      </items>
    </pivotField>
    <pivotField compact="0" outline="0" showAll="0">
      <items count="7">
        <item x="5"/>
        <item h="1" x="3"/>
        <item h="1" x="2"/>
        <item h="1" x="0"/>
        <item h="1" x="4"/>
        <item h="1" x="1"/>
        <item t="default"/>
      </items>
    </pivotField>
    <pivotField axis="axisRow" compact="0" outline="0" showAll="0">
      <items count="4">
        <item h="1" x="1"/>
        <item x="2"/>
        <item h="1" x="0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5"/>
  </rowFields>
  <rowItems count="2">
    <i>
      <x v="1"/>
    </i>
    <i t="grand">
      <x/>
    </i>
  </rowItems>
  <colItems count="1">
    <i/>
  </colItems>
  <dataFields count="1">
    <dataField name="Sum of Profit" fld="12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A7EF2-DA06-402C-AACC-00A8FC3D7C1C}" name="PivotTable1" cacheId="17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:C10" firstHeaderRow="1" firstDataRow="1" firstDataCol="1"/>
  <pivotFields count="16">
    <pivotField compact="0" outline="0" showAll="0"/>
    <pivotField compact="0" outline="0" showAll="0"/>
    <pivotField axis="axisRow" compact="0" outline="0" showAll="0">
      <items count="8">
        <item x="1"/>
        <item x="0"/>
        <item x="2"/>
        <item x="4"/>
        <item x="3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 Sales" fld="1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71107-2E14-49DE-9656-4EA93E8E9D96}" name="PivotTable7" cacheId="17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2:I15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6"/>
        <item x="2"/>
        <item x="5"/>
        <item x="3"/>
        <item x="1"/>
        <item x="4"/>
        <item x="8"/>
        <item x="11"/>
        <item x="0"/>
        <item x="10"/>
        <item x="7"/>
        <item x="9"/>
        <item t="default"/>
      </items>
    </pivotField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2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28065-BCAB-43DB-8CAE-A9F22A5E7299}" name="PivotTable4" cacheId="17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3:C20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3"/>
        <item x="2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2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96980-1919-4F80-89CE-FFE505FF70C1}" name="Table1" displayName="Table1" ref="A1:P101" totalsRowShown="0">
  <autoFilter ref="A1:P101" xr:uid="{E2296980-1919-4F80-89CE-FFE505FF70C1}"/>
  <tableColumns count="16">
    <tableColumn id="1" xr3:uid="{8C072BB8-98E3-4CB5-A1E5-8FBD6E642C83}" name="Order_ID"/>
    <tableColumn id="2" xr3:uid="{0DC19E82-A841-4203-AE1E-A4C8128A239E}" name="Order_Date" dataDxfId="9"/>
    <tableColumn id="16" xr3:uid="{7680AEDA-DC54-4357-911C-BCF27954D70A}" name="Month" dataDxfId="8">
      <calculatedColumnFormula>TEXT(Table1[[#This Row],[Order_Date]],"mmm")</calculatedColumnFormula>
    </tableColumn>
    <tableColumn id="3" xr3:uid="{FFE5531C-5359-446C-AC5F-024D2D730C48}" name="Region"/>
    <tableColumn id="4" xr3:uid="{74CE5A2C-50CB-43C9-B63A-BA2DD35FF65E}" name="Salesperson"/>
    <tableColumn id="5" xr3:uid="{A2485FC1-3B30-4444-B26C-E1FF9111DC50}" name="Category"/>
    <tableColumn id="6" xr3:uid="{0EF530E5-FDEB-48C4-9099-B32D9DF37ADF}" name="Product"/>
    <tableColumn id="7" xr3:uid="{0E28178A-E049-43C8-9FAD-92615F0EC696}" name="Quantity"/>
    <tableColumn id="8" xr3:uid="{927776E2-4B05-4C42-95CC-72099D604DF5}" name="Unit_Price" dataDxfId="7"/>
    <tableColumn id="9" xr3:uid="{55AB7FB2-05B8-4F0F-B1FB-2DE20927DDC1}" name="Discount_%" dataDxfId="6"/>
    <tableColumn id="10" xr3:uid="{7DE54581-A1EE-4AD7-B5B3-BABFD142DA83}" name="Revenue" dataDxfId="5">
      <calculatedColumnFormula>Table1[[#This Row],[Quantity]]*Table1[[#This Row],[Unit_Price]]</calculatedColumnFormula>
    </tableColumn>
    <tableColumn id="11" xr3:uid="{730A84F2-64CE-4A1B-94FE-AAACEC1A9DD3}" name="Cost" dataDxfId="4"/>
    <tableColumn id="12" xr3:uid="{D2B14C16-7269-40AE-85E3-3C150F26A679}" name="Profit" dataDxfId="3">
      <calculatedColumnFormula>Table1[[#This Row],[Final Sales]]-Table1[[#This Row],[Cost]]</calculatedColumnFormula>
    </tableColumn>
    <tableColumn id="13" xr3:uid="{F7BCE1FF-7602-4CBB-8059-9CB71B90189B}" name="Discount Amount" dataDxfId="2">
      <calculatedColumnFormula>Table1[[#This Row],[Revenue]]*(Table1[[#This Row],[Discount_%]]/100)</calculatedColumnFormula>
    </tableColumn>
    <tableColumn id="14" xr3:uid="{5987EEFB-2FBE-42AA-9EE7-927612DD21BC}" name="Final Sales" dataDxfId="1">
      <calculatedColumnFormula>Table1[[#This Row],[Revenue]]-Table1[[#This Row],[Discount Amount]]</calculatedColumnFormula>
    </tableColumn>
    <tableColumn id="15" xr3:uid="{56806D33-9D9D-4BEC-A5EE-C388DAA6F1A3}" name="proft %" dataDxfId="0">
      <calculatedColumnFormula>Table1[[#This Row],[Profit]]/Table1[[#This Row],[Final Sales]]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workbookViewId="0">
      <selection activeCell="J1" sqref="J1:J1048576"/>
    </sheetView>
  </sheetViews>
  <sheetFormatPr defaultRowHeight="15"/>
  <cols>
    <col min="1" max="1" width="11.5703125" bestFit="1" customWidth="1"/>
    <col min="2" max="2" width="13.85546875" style="2" bestFit="1" customWidth="1"/>
    <col min="3" max="3" width="13.85546875" style="2" customWidth="1"/>
    <col min="4" max="4" width="9.5703125" bestFit="1" customWidth="1"/>
    <col min="5" max="6" width="14.140625" bestFit="1" customWidth="1"/>
    <col min="7" max="7" width="10.42578125" bestFit="1" customWidth="1"/>
    <col min="8" max="8" width="11.28515625" bestFit="1" customWidth="1"/>
    <col min="9" max="9" width="12.7109375" style="3" bestFit="1" customWidth="1"/>
    <col min="10" max="10" width="13.85546875" style="4" bestFit="1" customWidth="1"/>
    <col min="11" max="12" width="12" style="3" bestFit="1" customWidth="1"/>
    <col min="13" max="13" width="10.85546875" style="3" bestFit="1" customWidth="1"/>
    <col min="14" max="14" width="19.140625" style="3" bestFit="1" customWidth="1"/>
    <col min="15" max="15" width="12.7109375" style="3" bestFit="1" customWidth="1"/>
    <col min="16" max="16" width="10" style="1" bestFit="1" customWidth="1"/>
  </cols>
  <sheetData>
    <row r="1" spans="1:16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spans="1:16">
      <c r="A2">
        <v>1</v>
      </c>
      <c r="B2" s="2" t="s">
        <v>16</v>
      </c>
      <c r="C2" s="2" t="str">
        <f>TEXT(Table1[[#This Row],[Order_Date]],"mmm")</f>
        <v>Feb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 s="3">
        <v>1200</v>
      </c>
      <c r="J2" s="4">
        <v>5</v>
      </c>
      <c r="K2" s="3">
        <f>Table1[[#This Row],[Quantity]]*Table1[[#This Row],[Unit_Price]]</f>
        <v>1200</v>
      </c>
      <c r="L2" s="3">
        <v>780</v>
      </c>
      <c r="M2" s="3">
        <f>Table1[[#This Row],[Final Sales]]-Table1[[#This Row],[Cost]]</f>
        <v>360</v>
      </c>
      <c r="N2" s="3">
        <f>Table1[[#This Row],[Revenue]]*(Table1[[#This Row],[Discount_%]]/100)</f>
        <v>60</v>
      </c>
      <c r="O2" s="3">
        <f>Table1[[#This Row],[Revenue]]-Table1[[#This Row],[Discount Amount]]</f>
        <v>1140</v>
      </c>
      <c r="P2" s="1">
        <f>Table1[[#This Row],[Profit]]/Table1[[#This Row],[Final Sales]]</f>
        <v>0.31578947368421051</v>
      </c>
    </row>
    <row r="3" spans="1:16">
      <c r="A3">
        <v>2</v>
      </c>
      <c r="B3" s="2" t="s">
        <v>21</v>
      </c>
      <c r="C3" s="2" t="str">
        <f>TEXT(Table1[[#This Row],[Order_Date]],"mmm")</f>
        <v>Jan</v>
      </c>
      <c r="D3" t="s">
        <v>22</v>
      </c>
      <c r="E3" t="s">
        <v>23</v>
      </c>
      <c r="F3" t="s">
        <v>24</v>
      </c>
      <c r="G3" t="s">
        <v>25</v>
      </c>
      <c r="H3">
        <v>10</v>
      </c>
      <c r="I3" s="3">
        <v>5000</v>
      </c>
      <c r="J3" s="4">
        <v>0</v>
      </c>
      <c r="K3" s="3">
        <f>Table1[[#This Row],[Quantity]]*Table1[[#This Row],[Unit_Price]]</f>
        <v>50000</v>
      </c>
      <c r="L3" s="3">
        <v>32500</v>
      </c>
      <c r="M3" s="3">
        <f>Table1[[#This Row],[Final Sales]]-Table1[[#This Row],[Cost]]</f>
        <v>17500</v>
      </c>
      <c r="N3" s="3">
        <f>Table1[[#This Row],[Revenue]]*(Table1[[#This Row],[Discount_%]]/100)</f>
        <v>0</v>
      </c>
      <c r="O3" s="3">
        <f>Table1[[#This Row],[Revenue]]-Table1[[#This Row],[Discount Amount]]</f>
        <v>50000</v>
      </c>
      <c r="P3" s="1">
        <f>Table1[[#This Row],[Profit]]/Table1[[#This Row],[Final Sales]]</f>
        <v>0.35</v>
      </c>
    </row>
    <row r="4" spans="1:16">
      <c r="A4">
        <v>3</v>
      </c>
      <c r="B4" s="2" t="s">
        <v>26</v>
      </c>
      <c r="C4" s="2" t="str">
        <f>TEXT(Table1[[#This Row],[Order_Date]],"mmm")</f>
        <v>Feb</v>
      </c>
      <c r="D4" t="s">
        <v>27</v>
      </c>
      <c r="E4" t="s">
        <v>28</v>
      </c>
      <c r="F4" t="s">
        <v>24</v>
      </c>
      <c r="G4" t="s">
        <v>25</v>
      </c>
      <c r="H4">
        <v>9</v>
      </c>
      <c r="I4" s="3">
        <v>800</v>
      </c>
      <c r="J4" s="4">
        <v>15</v>
      </c>
      <c r="K4" s="3">
        <f>Table1[[#This Row],[Quantity]]*Table1[[#This Row],[Unit_Price]]</f>
        <v>7200</v>
      </c>
      <c r="L4" s="3">
        <v>4680</v>
      </c>
      <c r="M4" s="3">
        <f>Table1[[#This Row],[Final Sales]]-Table1[[#This Row],[Cost]]</f>
        <v>1440</v>
      </c>
      <c r="N4" s="3">
        <f>Table1[[#This Row],[Revenue]]*(Table1[[#This Row],[Discount_%]]/100)</f>
        <v>1080</v>
      </c>
      <c r="O4" s="3">
        <f>Table1[[#This Row],[Revenue]]-Table1[[#This Row],[Discount Amount]]</f>
        <v>6120</v>
      </c>
      <c r="P4" s="1">
        <f>Table1[[#This Row],[Profit]]/Table1[[#This Row],[Final Sales]]</f>
        <v>0.23529411764705882</v>
      </c>
    </row>
    <row r="5" spans="1:16">
      <c r="A5">
        <v>4</v>
      </c>
      <c r="B5" s="2" t="s">
        <v>29</v>
      </c>
      <c r="C5" s="2" t="str">
        <f>TEXT(Table1[[#This Row],[Order_Date]],"mmm")</f>
        <v>Mar</v>
      </c>
      <c r="D5" t="s">
        <v>30</v>
      </c>
      <c r="E5" t="s">
        <v>23</v>
      </c>
      <c r="F5" t="s">
        <v>31</v>
      </c>
      <c r="G5" t="s">
        <v>32</v>
      </c>
      <c r="H5">
        <v>13</v>
      </c>
      <c r="I5" s="3">
        <v>500</v>
      </c>
      <c r="J5" s="4">
        <v>15</v>
      </c>
      <c r="K5" s="3">
        <f>Table1[[#This Row],[Quantity]]*Table1[[#This Row],[Unit_Price]]</f>
        <v>6500</v>
      </c>
      <c r="L5" s="3">
        <v>4225</v>
      </c>
      <c r="M5" s="3">
        <f>Table1[[#This Row],[Final Sales]]-Table1[[#This Row],[Cost]]</f>
        <v>1300</v>
      </c>
      <c r="N5" s="3">
        <f>Table1[[#This Row],[Revenue]]*(Table1[[#This Row],[Discount_%]]/100)</f>
        <v>975</v>
      </c>
      <c r="O5" s="3">
        <f>Table1[[#This Row],[Revenue]]-Table1[[#This Row],[Discount Amount]]</f>
        <v>5525</v>
      </c>
      <c r="P5" s="1">
        <f>Table1[[#This Row],[Profit]]/Table1[[#This Row],[Final Sales]]</f>
        <v>0.23529411764705882</v>
      </c>
    </row>
    <row r="6" spans="1:16">
      <c r="A6">
        <v>5</v>
      </c>
      <c r="B6" s="2" t="s">
        <v>33</v>
      </c>
      <c r="C6" s="2" t="str">
        <f>TEXT(Table1[[#This Row],[Order_Date]],"mmm")</f>
        <v>Jan</v>
      </c>
      <c r="D6" t="s">
        <v>30</v>
      </c>
      <c r="E6" t="s">
        <v>34</v>
      </c>
      <c r="F6" t="s">
        <v>24</v>
      </c>
      <c r="G6" t="s">
        <v>35</v>
      </c>
      <c r="H6">
        <v>2</v>
      </c>
      <c r="I6" s="3">
        <v>250</v>
      </c>
      <c r="J6" s="4">
        <v>15</v>
      </c>
      <c r="K6" s="3">
        <f>Table1[[#This Row],[Quantity]]*Table1[[#This Row],[Unit_Price]]</f>
        <v>500</v>
      </c>
      <c r="L6" s="3">
        <v>325</v>
      </c>
      <c r="M6" s="3">
        <f>Table1[[#This Row],[Final Sales]]-Table1[[#This Row],[Cost]]</f>
        <v>100</v>
      </c>
      <c r="N6" s="3">
        <f>Table1[[#This Row],[Revenue]]*(Table1[[#This Row],[Discount_%]]/100)</f>
        <v>75</v>
      </c>
      <c r="O6" s="3">
        <f>Table1[[#This Row],[Revenue]]-Table1[[#This Row],[Discount Amount]]</f>
        <v>425</v>
      </c>
      <c r="P6" s="1">
        <f>Table1[[#This Row],[Profit]]/Table1[[#This Row],[Final Sales]]</f>
        <v>0.23529411764705882</v>
      </c>
    </row>
    <row r="7" spans="1:16">
      <c r="A7">
        <v>6</v>
      </c>
      <c r="B7" s="2" t="s">
        <v>36</v>
      </c>
      <c r="C7" s="2" t="str">
        <f>TEXT(Table1[[#This Row],[Order_Date]],"mmm")</f>
        <v>May</v>
      </c>
      <c r="D7" t="s">
        <v>22</v>
      </c>
      <c r="E7" t="s">
        <v>37</v>
      </c>
      <c r="F7" t="s">
        <v>19</v>
      </c>
      <c r="G7" t="s">
        <v>38</v>
      </c>
      <c r="H7">
        <v>13</v>
      </c>
      <c r="I7" s="3">
        <v>150</v>
      </c>
      <c r="J7" s="4">
        <v>15</v>
      </c>
      <c r="K7" s="3">
        <f>Table1[[#This Row],[Quantity]]*Table1[[#This Row],[Unit_Price]]</f>
        <v>1950</v>
      </c>
      <c r="L7" s="3">
        <v>1267.5</v>
      </c>
      <c r="M7" s="3">
        <f>Table1[[#This Row],[Final Sales]]-Table1[[#This Row],[Cost]]</f>
        <v>390</v>
      </c>
      <c r="N7" s="3">
        <f>Table1[[#This Row],[Revenue]]*(Table1[[#This Row],[Discount_%]]/100)</f>
        <v>292.5</v>
      </c>
      <c r="O7" s="3">
        <f>Table1[[#This Row],[Revenue]]-Table1[[#This Row],[Discount Amount]]</f>
        <v>1657.5</v>
      </c>
      <c r="P7" s="1">
        <f>Table1[[#This Row],[Profit]]/Table1[[#This Row],[Final Sales]]</f>
        <v>0.23529411764705882</v>
      </c>
    </row>
    <row r="8" spans="1:16">
      <c r="A8">
        <v>7</v>
      </c>
      <c r="B8" s="2" t="s">
        <v>39</v>
      </c>
      <c r="C8" s="2" t="str">
        <f>TEXT(Table1[[#This Row],[Order_Date]],"mmm")</f>
        <v>Jan</v>
      </c>
      <c r="D8" t="s">
        <v>22</v>
      </c>
      <c r="E8" t="s">
        <v>18</v>
      </c>
      <c r="F8" t="s">
        <v>24</v>
      </c>
      <c r="G8" t="s">
        <v>35</v>
      </c>
      <c r="H8">
        <v>14</v>
      </c>
      <c r="I8" s="3">
        <v>2500</v>
      </c>
      <c r="J8" s="4">
        <v>5</v>
      </c>
      <c r="K8" s="3">
        <f>Table1[[#This Row],[Quantity]]*Table1[[#This Row],[Unit_Price]]</f>
        <v>35000</v>
      </c>
      <c r="L8" s="3">
        <v>22750</v>
      </c>
      <c r="M8" s="3">
        <f>Table1[[#This Row],[Final Sales]]-Table1[[#This Row],[Cost]]</f>
        <v>10500</v>
      </c>
      <c r="N8" s="3">
        <f>Table1[[#This Row],[Revenue]]*(Table1[[#This Row],[Discount_%]]/100)</f>
        <v>1750</v>
      </c>
      <c r="O8" s="3">
        <f>Table1[[#This Row],[Revenue]]-Table1[[#This Row],[Discount Amount]]</f>
        <v>33250</v>
      </c>
      <c r="P8" s="1">
        <f>Table1[[#This Row],[Profit]]/Table1[[#This Row],[Final Sales]]</f>
        <v>0.31578947368421051</v>
      </c>
    </row>
    <row r="9" spans="1:16">
      <c r="A9">
        <v>8</v>
      </c>
      <c r="B9" s="2" t="s">
        <v>40</v>
      </c>
      <c r="C9" s="2" t="str">
        <f>TEXT(Table1[[#This Row],[Order_Date]],"mmm")</f>
        <v>Apr</v>
      </c>
      <c r="D9" t="s">
        <v>30</v>
      </c>
      <c r="E9" t="s">
        <v>37</v>
      </c>
      <c r="F9" t="s">
        <v>24</v>
      </c>
      <c r="G9" t="s">
        <v>35</v>
      </c>
      <c r="H9">
        <v>2</v>
      </c>
      <c r="I9" s="3">
        <v>800</v>
      </c>
      <c r="J9" s="4">
        <v>0</v>
      </c>
      <c r="K9" s="3">
        <f>Table1[[#This Row],[Quantity]]*Table1[[#This Row],[Unit_Price]]</f>
        <v>1600</v>
      </c>
      <c r="L9" s="3">
        <v>1040</v>
      </c>
      <c r="M9" s="3">
        <f>Table1[[#This Row],[Final Sales]]-Table1[[#This Row],[Cost]]</f>
        <v>560</v>
      </c>
      <c r="N9" s="3">
        <f>Table1[[#This Row],[Revenue]]*(Table1[[#This Row],[Discount_%]]/100)</f>
        <v>0</v>
      </c>
      <c r="O9" s="3">
        <f>Table1[[#This Row],[Revenue]]-Table1[[#This Row],[Discount Amount]]</f>
        <v>1600</v>
      </c>
      <c r="P9" s="1">
        <f>Table1[[#This Row],[Profit]]/Table1[[#This Row],[Final Sales]]</f>
        <v>0.35</v>
      </c>
    </row>
    <row r="10" spans="1:16">
      <c r="A10">
        <v>9</v>
      </c>
      <c r="B10" s="2" t="s">
        <v>41</v>
      </c>
      <c r="C10" s="2" t="str">
        <f>TEXT(Table1[[#This Row],[Order_Date]],"mmm")</f>
        <v>Feb</v>
      </c>
      <c r="D10" t="s">
        <v>30</v>
      </c>
      <c r="E10" t="s">
        <v>18</v>
      </c>
      <c r="F10" t="s">
        <v>19</v>
      </c>
      <c r="G10" t="s">
        <v>38</v>
      </c>
      <c r="H10">
        <v>3</v>
      </c>
      <c r="I10" s="3">
        <v>2500</v>
      </c>
      <c r="J10" s="4">
        <v>10</v>
      </c>
      <c r="K10" s="3">
        <f>Table1[[#This Row],[Quantity]]*Table1[[#This Row],[Unit_Price]]</f>
        <v>7500</v>
      </c>
      <c r="L10" s="3">
        <v>4875</v>
      </c>
      <c r="M10" s="3">
        <f>Table1[[#This Row],[Final Sales]]-Table1[[#This Row],[Cost]]</f>
        <v>1875</v>
      </c>
      <c r="N10" s="3">
        <f>Table1[[#This Row],[Revenue]]*(Table1[[#This Row],[Discount_%]]/100)</f>
        <v>750</v>
      </c>
      <c r="O10" s="3">
        <f>Table1[[#This Row],[Revenue]]-Table1[[#This Row],[Discount Amount]]</f>
        <v>6750</v>
      </c>
      <c r="P10" s="1">
        <f>Table1[[#This Row],[Profit]]/Table1[[#This Row],[Final Sales]]</f>
        <v>0.27777777777777779</v>
      </c>
    </row>
    <row r="11" spans="1:16">
      <c r="A11">
        <v>10</v>
      </c>
      <c r="B11" s="2" t="s">
        <v>42</v>
      </c>
      <c r="C11" s="2" t="str">
        <f>TEXT(Table1[[#This Row],[Order_Date]],"mmm")</f>
        <v>Feb</v>
      </c>
      <c r="D11" t="s">
        <v>27</v>
      </c>
      <c r="E11" t="s">
        <v>37</v>
      </c>
      <c r="F11" t="s">
        <v>19</v>
      </c>
      <c r="G11" t="s">
        <v>20</v>
      </c>
      <c r="H11">
        <v>10</v>
      </c>
      <c r="I11" s="3">
        <v>500</v>
      </c>
      <c r="J11" s="4">
        <v>5</v>
      </c>
      <c r="K11" s="3">
        <f>Table1[[#This Row],[Quantity]]*Table1[[#This Row],[Unit_Price]]</f>
        <v>5000</v>
      </c>
      <c r="L11" s="3">
        <v>3250</v>
      </c>
      <c r="M11" s="3">
        <f>Table1[[#This Row],[Final Sales]]-Table1[[#This Row],[Cost]]</f>
        <v>1500</v>
      </c>
      <c r="N11" s="3">
        <f>Table1[[#This Row],[Revenue]]*(Table1[[#This Row],[Discount_%]]/100)</f>
        <v>250</v>
      </c>
      <c r="O11" s="3">
        <f>Table1[[#This Row],[Revenue]]-Table1[[#This Row],[Discount Amount]]</f>
        <v>4750</v>
      </c>
      <c r="P11" s="1">
        <f>Table1[[#This Row],[Profit]]/Table1[[#This Row],[Final Sales]]</f>
        <v>0.31578947368421051</v>
      </c>
    </row>
    <row r="12" spans="1:16">
      <c r="A12">
        <v>11</v>
      </c>
      <c r="B12" s="2" t="s">
        <v>43</v>
      </c>
      <c r="C12" s="2" t="str">
        <f>TEXT(Table1[[#This Row],[Order_Date]],"mmm")</f>
        <v>Feb</v>
      </c>
      <c r="D12" t="s">
        <v>22</v>
      </c>
      <c r="E12" t="s">
        <v>34</v>
      </c>
      <c r="F12" t="s">
        <v>31</v>
      </c>
      <c r="G12" t="s">
        <v>44</v>
      </c>
      <c r="H12">
        <v>11</v>
      </c>
      <c r="I12" s="3">
        <v>2500</v>
      </c>
      <c r="J12" s="4">
        <v>0</v>
      </c>
      <c r="K12" s="3">
        <f>Table1[[#This Row],[Quantity]]*Table1[[#This Row],[Unit_Price]]</f>
        <v>27500</v>
      </c>
      <c r="L12" s="3">
        <v>17875</v>
      </c>
      <c r="M12" s="3">
        <f>Table1[[#This Row],[Final Sales]]-Table1[[#This Row],[Cost]]</f>
        <v>9625</v>
      </c>
      <c r="N12" s="3">
        <f>Table1[[#This Row],[Revenue]]*(Table1[[#This Row],[Discount_%]]/100)</f>
        <v>0</v>
      </c>
      <c r="O12" s="3">
        <f>Table1[[#This Row],[Revenue]]-Table1[[#This Row],[Discount Amount]]</f>
        <v>27500</v>
      </c>
      <c r="P12" s="1">
        <f>Table1[[#This Row],[Profit]]/Table1[[#This Row],[Final Sales]]</f>
        <v>0.35</v>
      </c>
    </row>
    <row r="13" spans="1:16">
      <c r="A13">
        <v>12</v>
      </c>
      <c r="B13" s="2" t="s">
        <v>45</v>
      </c>
      <c r="C13" s="2" t="str">
        <f>TEXT(Table1[[#This Row],[Order_Date]],"mmm")</f>
        <v>Feb</v>
      </c>
      <c r="D13" t="s">
        <v>27</v>
      </c>
      <c r="E13" t="s">
        <v>37</v>
      </c>
      <c r="F13" t="s">
        <v>31</v>
      </c>
      <c r="G13" t="s">
        <v>46</v>
      </c>
      <c r="H13">
        <v>2</v>
      </c>
      <c r="I13" s="3">
        <v>800</v>
      </c>
      <c r="J13" s="4">
        <v>10</v>
      </c>
      <c r="K13" s="3">
        <f>Table1[[#This Row],[Quantity]]*Table1[[#This Row],[Unit_Price]]</f>
        <v>1600</v>
      </c>
      <c r="L13" s="3">
        <v>1040</v>
      </c>
      <c r="M13" s="3">
        <f>Table1[[#This Row],[Final Sales]]-Table1[[#This Row],[Cost]]</f>
        <v>400</v>
      </c>
      <c r="N13" s="3">
        <f>Table1[[#This Row],[Revenue]]*(Table1[[#This Row],[Discount_%]]/100)</f>
        <v>160</v>
      </c>
      <c r="O13" s="3">
        <f>Table1[[#This Row],[Revenue]]-Table1[[#This Row],[Discount Amount]]</f>
        <v>1440</v>
      </c>
      <c r="P13" s="1">
        <f>Table1[[#This Row],[Profit]]/Table1[[#This Row],[Final Sales]]</f>
        <v>0.27777777777777779</v>
      </c>
    </row>
    <row r="14" spans="1:16">
      <c r="A14">
        <v>13</v>
      </c>
      <c r="B14" s="2" t="s">
        <v>47</v>
      </c>
      <c r="C14" s="2" t="str">
        <f>TEXT(Table1[[#This Row],[Order_Date]],"mmm")</f>
        <v>Mar</v>
      </c>
      <c r="D14" t="s">
        <v>30</v>
      </c>
      <c r="E14" t="s">
        <v>18</v>
      </c>
      <c r="F14" t="s">
        <v>19</v>
      </c>
      <c r="G14" t="s">
        <v>48</v>
      </c>
      <c r="H14">
        <v>3</v>
      </c>
      <c r="I14" s="3">
        <v>1200</v>
      </c>
      <c r="J14" s="4">
        <v>5</v>
      </c>
      <c r="K14" s="3">
        <f>Table1[[#This Row],[Quantity]]*Table1[[#This Row],[Unit_Price]]</f>
        <v>3600</v>
      </c>
      <c r="L14" s="3">
        <v>2340</v>
      </c>
      <c r="M14" s="3">
        <f>Table1[[#This Row],[Final Sales]]-Table1[[#This Row],[Cost]]</f>
        <v>1080</v>
      </c>
      <c r="N14" s="3">
        <f>Table1[[#This Row],[Revenue]]*(Table1[[#This Row],[Discount_%]]/100)</f>
        <v>180</v>
      </c>
      <c r="O14" s="3">
        <f>Table1[[#This Row],[Revenue]]-Table1[[#This Row],[Discount Amount]]</f>
        <v>3420</v>
      </c>
      <c r="P14" s="1">
        <f>Table1[[#This Row],[Profit]]/Table1[[#This Row],[Final Sales]]</f>
        <v>0.31578947368421051</v>
      </c>
    </row>
    <row r="15" spans="1:16">
      <c r="A15">
        <v>14</v>
      </c>
      <c r="B15" s="2" t="s">
        <v>26</v>
      </c>
      <c r="C15" s="2" t="str">
        <f>TEXT(Table1[[#This Row],[Order_Date]],"mmm")</f>
        <v>Feb</v>
      </c>
      <c r="D15" t="s">
        <v>17</v>
      </c>
      <c r="E15" t="s">
        <v>28</v>
      </c>
      <c r="F15" t="s">
        <v>19</v>
      </c>
      <c r="G15" t="s">
        <v>48</v>
      </c>
      <c r="H15">
        <v>15</v>
      </c>
      <c r="I15" s="3">
        <v>5000</v>
      </c>
      <c r="J15" s="4">
        <v>10</v>
      </c>
      <c r="K15" s="3">
        <f>Table1[[#This Row],[Quantity]]*Table1[[#This Row],[Unit_Price]]</f>
        <v>75000</v>
      </c>
      <c r="L15" s="3">
        <v>48750</v>
      </c>
      <c r="M15" s="3">
        <f>Table1[[#This Row],[Final Sales]]-Table1[[#This Row],[Cost]]</f>
        <v>18750</v>
      </c>
      <c r="N15" s="3">
        <f>Table1[[#This Row],[Revenue]]*(Table1[[#This Row],[Discount_%]]/100)</f>
        <v>7500</v>
      </c>
      <c r="O15" s="3">
        <f>Table1[[#This Row],[Revenue]]-Table1[[#This Row],[Discount Amount]]</f>
        <v>67500</v>
      </c>
      <c r="P15" s="1">
        <f>Table1[[#This Row],[Profit]]/Table1[[#This Row],[Final Sales]]</f>
        <v>0.27777777777777779</v>
      </c>
    </row>
    <row r="16" spans="1:16">
      <c r="A16">
        <v>15</v>
      </c>
      <c r="B16" s="2" t="s">
        <v>49</v>
      </c>
      <c r="C16" s="2" t="str">
        <f>TEXT(Table1[[#This Row],[Order_Date]],"mmm")</f>
        <v>Feb</v>
      </c>
      <c r="D16" t="s">
        <v>17</v>
      </c>
      <c r="E16" t="s">
        <v>18</v>
      </c>
      <c r="F16" t="s">
        <v>31</v>
      </c>
      <c r="G16" t="s">
        <v>32</v>
      </c>
      <c r="H16">
        <v>13</v>
      </c>
      <c r="I16" s="3">
        <v>150</v>
      </c>
      <c r="J16" s="4">
        <v>0</v>
      </c>
      <c r="K16" s="3">
        <f>Table1[[#This Row],[Quantity]]*Table1[[#This Row],[Unit_Price]]</f>
        <v>1950</v>
      </c>
      <c r="L16" s="3">
        <v>1267.5</v>
      </c>
      <c r="M16" s="3">
        <f>Table1[[#This Row],[Final Sales]]-Table1[[#This Row],[Cost]]</f>
        <v>682.5</v>
      </c>
      <c r="N16" s="3">
        <f>Table1[[#This Row],[Revenue]]*(Table1[[#This Row],[Discount_%]]/100)</f>
        <v>0</v>
      </c>
      <c r="O16" s="3">
        <f>Table1[[#This Row],[Revenue]]-Table1[[#This Row],[Discount Amount]]</f>
        <v>1950</v>
      </c>
      <c r="P16" s="1">
        <f>Table1[[#This Row],[Profit]]/Table1[[#This Row],[Final Sales]]</f>
        <v>0.35</v>
      </c>
    </row>
    <row r="17" spans="1:16">
      <c r="A17">
        <v>16</v>
      </c>
      <c r="B17" s="2" t="s">
        <v>50</v>
      </c>
      <c r="C17" s="2" t="str">
        <f>TEXT(Table1[[#This Row],[Order_Date]],"mmm")</f>
        <v>May</v>
      </c>
      <c r="D17" t="s">
        <v>30</v>
      </c>
      <c r="E17" t="s">
        <v>28</v>
      </c>
      <c r="F17" t="s">
        <v>31</v>
      </c>
      <c r="G17" t="s">
        <v>32</v>
      </c>
      <c r="H17">
        <v>7</v>
      </c>
      <c r="I17" s="3">
        <v>5000</v>
      </c>
      <c r="J17" s="4">
        <v>15</v>
      </c>
      <c r="K17" s="3">
        <f>Table1[[#This Row],[Quantity]]*Table1[[#This Row],[Unit_Price]]</f>
        <v>35000</v>
      </c>
      <c r="L17" s="3">
        <v>22750</v>
      </c>
      <c r="M17" s="3">
        <f>Table1[[#This Row],[Final Sales]]-Table1[[#This Row],[Cost]]</f>
        <v>7000</v>
      </c>
      <c r="N17" s="3">
        <f>Table1[[#This Row],[Revenue]]*(Table1[[#This Row],[Discount_%]]/100)</f>
        <v>5250</v>
      </c>
      <c r="O17" s="3">
        <f>Table1[[#This Row],[Revenue]]-Table1[[#This Row],[Discount Amount]]</f>
        <v>29750</v>
      </c>
      <c r="P17" s="1">
        <f>Table1[[#This Row],[Profit]]/Table1[[#This Row],[Final Sales]]</f>
        <v>0.23529411764705882</v>
      </c>
    </row>
    <row r="18" spans="1:16">
      <c r="A18">
        <v>17</v>
      </c>
      <c r="B18" s="2" t="s">
        <v>51</v>
      </c>
      <c r="C18" s="2" t="str">
        <f>TEXT(Table1[[#This Row],[Order_Date]],"mmm")</f>
        <v>Jan</v>
      </c>
      <c r="D18" t="s">
        <v>30</v>
      </c>
      <c r="E18" t="s">
        <v>37</v>
      </c>
      <c r="F18" t="s">
        <v>24</v>
      </c>
      <c r="G18" t="s">
        <v>25</v>
      </c>
      <c r="H18">
        <v>11</v>
      </c>
      <c r="I18" s="3">
        <v>1200</v>
      </c>
      <c r="J18" s="4">
        <v>10</v>
      </c>
      <c r="K18" s="3">
        <f>Table1[[#This Row],[Quantity]]*Table1[[#This Row],[Unit_Price]]</f>
        <v>13200</v>
      </c>
      <c r="L18" s="3">
        <v>8580</v>
      </c>
      <c r="M18" s="3">
        <f>Table1[[#This Row],[Final Sales]]-Table1[[#This Row],[Cost]]</f>
        <v>3300</v>
      </c>
      <c r="N18" s="3">
        <f>Table1[[#This Row],[Revenue]]*(Table1[[#This Row],[Discount_%]]/100)</f>
        <v>1320</v>
      </c>
      <c r="O18" s="3">
        <f>Table1[[#This Row],[Revenue]]-Table1[[#This Row],[Discount Amount]]</f>
        <v>11880</v>
      </c>
      <c r="P18" s="1">
        <f>Table1[[#This Row],[Profit]]/Table1[[#This Row],[Final Sales]]</f>
        <v>0.27777777777777779</v>
      </c>
    </row>
    <row r="19" spans="1:16">
      <c r="A19">
        <v>18</v>
      </c>
      <c r="B19" s="2" t="s">
        <v>52</v>
      </c>
      <c r="C19" s="2" t="str">
        <f>TEXT(Table1[[#This Row],[Order_Date]],"mmm")</f>
        <v>May</v>
      </c>
      <c r="D19" t="s">
        <v>22</v>
      </c>
      <c r="E19" t="s">
        <v>18</v>
      </c>
      <c r="F19" t="s">
        <v>24</v>
      </c>
      <c r="G19" t="s">
        <v>53</v>
      </c>
      <c r="H19">
        <v>1</v>
      </c>
      <c r="I19" s="3">
        <v>1200</v>
      </c>
      <c r="J19" s="4">
        <v>5</v>
      </c>
      <c r="K19" s="3">
        <f>Table1[[#This Row],[Quantity]]*Table1[[#This Row],[Unit_Price]]</f>
        <v>1200</v>
      </c>
      <c r="L19" s="3">
        <v>780</v>
      </c>
      <c r="M19" s="3">
        <f>Table1[[#This Row],[Final Sales]]-Table1[[#This Row],[Cost]]</f>
        <v>360</v>
      </c>
      <c r="N19" s="3">
        <f>Table1[[#This Row],[Revenue]]*(Table1[[#This Row],[Discount_%]]/100)</f>
        <v>60</v>
      </c>
      <c r="O19" s="3">
        <f>Table1[[#This Row],[Revenue]]-Table1[[#This Row],[Discount Amount]]</f>
        <v>1140</v>
      </c>
      <c r="P19" s="1">
        <f>Table1[[#This Row],[Profit]]/Table1[[#This Row],[Final Sales]]</f>
        <v>0.31578947368421051</v>
      </c>
    </row>
    <row r="20" spans="1:16">
      <c r="A20">
        <v>19</v>
      </c>
      <c r="B20" s="2" t="s">
        <v>54</v>
      </c>
      <c r="C20" s="2" t="str">
        <f>TEXT(Table1[[#This Row],[Order_Date]],"mmm")</f>
        <v>May</v>
      </c>
      <c r="D20" t="s">
        <v>22</v>
      </c>
      <c r="E20" t="s">
        <v>28</v>
      </c>
      <c r="F20" t="s">
        <v>31</v>
      </c>
      <c r="G20" t="s">
        <v>44</v>
      </c>
      <c r="H20">
        <v>3</v>
      </c>
      <c r="I20" s="3">
        <v>2500</v>
      </c>
      <c r="J20" s="4">
        <v>5</v>
      </c>
      <c r="K20" s="3">
        <f>Table1[[#This Row],[Quantity]]*Table1[[#This Row],[Unit_Price]]</f>
        <v>7500</v>
      </c>
      <c r="L20" s="3">
        <v>4875</v>
      </c>
      <c r="M20" s="3">
        <f>Table1[[#This Row],[Final Sales]]-Table1[[#This Row],[Cost]]</f>
        <v>2250</v>
      </c>
      <c r="N20" s="3">
        <f>Table1[[#This Row],[Revenue]]*(Table1[[#This Row],[Discount_%]]/100)</f>
        <v>375</v>
      </c>
      <c r="O20" s="3">
        <f>Table1[[#This Row],[Revenue]]-Table1[[#This Row],[Discount Amount]]</f>
        <v>7125</v>
      </c>
      <c r="P20" s="1">
        <f>Table1[[#This Row],[Profit]]/Table1[[#This Row],[Final Sales]]</f>
        <v>0.31578947368421051</v>
      </c>
    </row>
    <row r="21" spans="1:16">
      <c r="A21">
        <v>20</v>
      </c>
      <c r="B21" s="2" t="s">
        <v>55</v>
      </c>
      <c r="C21" s="2" t="str">
        <f>TEXT(Table1[[#This Row],[Order_Date]],"mmm")</f>
        <v>Mar</v>
      </c>
      <c r="D21" t="s">
        <v>17</v>
      </c>
      <c r="E21" t="s">
        <v>56</v>
      </c>
      <c r="F21" t="s">
        <v>31</v>
      </c>
      <c r="G21" t="s">
        <v>57</v>
      </c>
      <c r="H21">
        <v>1</v>
      </c>
      <c r="I21" s="3">
        <v>250</v>
      </c>
      <c r="J21" s="4">
        <v>10</v>
      </c>
      <c r="K21" s="3">
        <f>Table1[[#This Row],[Quantity]]*Table1[[#This Row],[Unit_Price]]</f>
        <v>250</v>
      </c>
      <c r="L21" s="3">
        <v>162.5</v>
      </c>
      <c r="M21" s="3">
        <f>Table1[[#This Row],[Final Sales]]-Table1[[#This Row],[Cost]]</f>
        <v>62.5</v>
      </c>
      <c r="N21" s="3">
        <f>Table1[[#This Row],[Revenue]]*(Table1[[#This Row],[Discount_%]]/100)</f>
        <v>25</v>
      </c>
      <c r="O21" s="3">
        <f>Table1[[#This Row],[Revenue]]-Table1[[#This Row],[Discount Amount]]</f>
        <v>225</v>
      </c>
      <c r="P21" s="1">
        <f>Table1[[#This Row],[Profit]]/Table1[[#This Row],[Final Sales]]</f>
        <v>0.27777777777777779</v>
      </c>
    </row>
    <row r="22" spans="1:16">
      <c r="A22">
        <v>21</v>
      </c>
      <c r="B22" s="2" t="s">
        <v>58</v>
      </c>
      <c r="C22" s="2" t="str">
        <f>TEXT(Table1[[#This Row],[Order_Date]],"mmm")</f>
        <v>May</v>
      </c>
      <c r="D22" t="s">
        <v>17</v>
      </c>
      <c r="E22" t="s">
        <v>23</v>
      </c>
      <c r="F22" t="s">
        <v>24</v>
      </c>
      <c r="G22" t="s">
        <v>25</v>
      </c>
      <c r="H22">
        <v>2</v>
      </c>
      <c r="I22" s="3">
        <v>12000</v>
      </c>
      <c r="J22" s="4">
        <v>0</v>
      </c>
      <c r="K22" s="3">
        <f>Table1[[#This Row],[Quantity]]*Table1[[#This Row],[Unit_Price]]</f>
        <v>24000</v>
      </c>
      <c r="L22" s="3">
        <v>15600</v>
      </c>
      <c r="M22" s="3">
        <f>Table1[[#This Row],[Final Sales]]-Table1[[#This Row],[Cost]]</f>
        <v>8400</v>
      </c>
      <c r="N22" s="3">
        <f>Table1[[#This Row],[Revenue]]*(Table1[[#This Row],[Discount_%]]/100)</f>
        <v>0</v>
      </c>
      <c r="O22" s="3">
        <f>Table1[[#This Row],[Revenue]]-Table1[[#This Row],[Discount Amount]]</f>
        <v>24000</v>
      </c>
      <c r="P22" s="1">
        <f>Table1[[#This Row],[Profit]]/Table1[[#This Row],[Final Sales]]</f>
        <v>0.35</v>
      </c>
    </row>
    <row r="23" spans="1:16">
      <c r="A23">
        <v>22</v>
      </c>
      <c r="B23" s="2" t="s">
        <v>50</v>
      </c>
      <c r="C23" s="2" t="str">
        <f>TEXT(Table1[[#This Row],[Order_Date]],"mmm")</f>
        <v>May</v>
      </c>
      <c r="D23" t="s">
        <v>27</v>
      </c>
      <c r="E23" t="s">
        <v>23</v>
      </c>
      <c r="F23" t="s">
        <v>19</v>
      </c>
      <c r="G23" t="s">
        <v>48</v>
      </c>
      <c r="H23">
        <v>9</v>
      </c>
      <c r="I23" s="3">
        <v>500</v>
      </c>
      <c r="J23" s="4">
        <v>10</v>
      </c>
      <c r="K23" s="3">
        <f>Table1[[#This Row],[Quantity]]*Table1[[#This Row],[Unit_Price]]</f>
        <v>4500</v>
      </c>
      <c r="L23" s="3">
        <v>2925</v>
      </c>
      <c r="M23" s="3">
        <f>Table1[[#This Row],[Final Sales]]-Table1[[#This Row],[Cost]]</f>
        <v>1125</v>
      </c>
      <c r="N23" s="3">
        <f>Table1[[#This Row],[Revenue]]*(Table1[[#This Row],[Discount_%]]/100)</f>
        <v>450</v>
      </c>
      <c r="O23" s="3">
        <f>Table1[[#This Row],[Revenue]]-Table1[[#This Row],[Discount Amount]]</f>
        <v>4050</v>
      </c>
      <c r="P23" s="1">
        <f>Table1[[#This Row],[Profit]]/Table1[[#This Row],[Final Sales]]</f>
        <v>0.27777777777777779</v>
      </c>
    </row>
    <row r="24" spans="1:16">
      <c r="A24">
        <v>23</v>
      </c>
      <c r="B24" s="2" t="s">
        <v>59</v>
      </c>
      <c r="C24" s="2" t="str">
        <f>TEXT(Table1[[#This Row],[Order_Date]],"mmm")</f>
        <v>Jun</v>
      </c>
      <c r="D24" t="s">
        <v>30</v>
      </c>
      <c r="E24" t="s">
        <v>37</v>
      </c>
      <c r="F24" t="s">
        <v>19</v>
      </c>
      <c r="G24" t="s">
        <v>60</v>
      </c>
      <c r="H24">
        <v>12</v>
      </c>
      <c r="I24" s="3">
        <v>1200</v>
      </c>
      <c r="J24" s="4">
        <v>15</v>
      </c>
      <c r="K24" s="3">
        <f>Table1[[#This Row],[Quantity]]*Table1[[#This Row],[Unit_Price]]</f>
        <v>14400</v>
      </c>
      <c r="L24" s="3">
        <v>9360</v>
      </c>
      <c r="M24" s="3">
        <f>Table1[[#This Row],[Final Sales]]-Table1[[#This Row],[Cost]]</f>
        <v>2880</v>
      </c>
      <c r="N24" s="3">
        <f>Table1[[#This Row],[Revenue]]*(Table1[[#This Row],[Discount_%]]/100)</f>
        <v>2160</v>
      </c>
      <c r="O24" s="3">
        <f>Table1[[#This Row],[Revenue]]-Table1[[#This Row],[Discount Amount]]</f>
        <v>12240</v>
      </c>
      <c r="P24" s="1">
        <f>Table1[[#This Row],[Profit]]/Table1[[#This Row],[Final Sales]]</f>
        <v>0.23529411764705882</v>
      </c>
    </row>
    <row r="25" spans="1:16">
      <c r="A25">
        <v>24</v>
      </c>
      <c r="B25" s="2" t="s">
        <v>61</v>
      </c>
      <c r="C25" s="2" t="str">
        <f>TEXT(Table1[[#This Row],[Order_Date]],"mmm")</f>
        <v>Jan</v>
      </c>
      <c r="D25" t="s">
        <v>30</v>
      </c>
      <c r="E25" t="s">
        <v>56</v>
      </c>
      <c r="F25" t="s">
        <v>19</v>
      </c>
      <c r="G25" t="s">
        <v>48</v>
      </c>
      <c r="H25">
        <v>2</v>
      </c>
      <c r="I25" s="3">
        <v>800</v>
      </c>
      <c r="J25" s="4">
        <v>5</v>
      </c>
      <c r="K25" s="3">
        <f>Table1[[#This Row],[Quantity]]*Table1[[#This Row],[Unit_Price]]</f>
        <v>1600</v>
      </c>
      <c r="L25" s="3">
        <v>1040</v>
      </c>
      <c r="M25" s="3">
        <f>Table1[[#This Row],[Final Sales]]-Table1[[#This Row],[Cost]]</f>
        <v>480</v>
      </c>
      <c r="N25" s="3">
        <f>Table1[[#This Row],[Revenue]]*(Table1[[#This Row],[Discount_%]]/100)</f>
        <v>80</v>
      </c>
      <c r="O25" s="3">
        <f>Table1[[#This Row],[Revenue]]-Table1[[#This Row],[Discount Amount]]</f>
        <v>1520</v>
      </c>
      <c r="P25" s="1">
        <f>Table1[[#This Row],[Profit]]/Table1[[#This Row],[Final Sales]]</f>
        <v>0.31578947368421051</v>
      </c>
    </row>
    <row r="26" spans="1:16">
      <c r="A26">
        <v>25</v>
      </c>
      <c r="B26" s="2" t="s">
        <v>62</v>
      </c>
      <c r="C26" s="2" t="str">
        <f>TEXT(Table1[[#This Row],[Order_Date]],"mmm")</f>
        <v>Jan</v>
      </c>
      <c r="D26" t="s">
        <v>22</v>
      </c>
      <c r="E26" t="s">
        <v>23</v>
      </c>
      <c r="F26" t="s">
        <v>19</v>
      </c>
      <c r="G26" t="s">
        <v>60</v>
      </c>
      <c r="H26">
        <v>10</v>
      </c>
      <c r="I26" s="3">
        <v>800</v>
      </c>
      <c r="J26" s="4">
        <v>0</v>
      </c>
      <c r="K26" s="3">
        <f>Table1[[#This Row],[Quantity]]*Table1[[#This Row],[Unit_Price]]</f>
        <v>8000</v>
      </c>
      <c r="L26" s="3">
        <v>5200</v>
      </c>
      <c r="M26" s="3">
        <f>Table1[[#This Row],[Final Sales]]-Table1[[#This Row],[Cost]]</f>
        <v>2800</v>
      </c>
      <c r="N26" s="3">
        <f>Table1[[#This Row],[Revenue]]*(Table1[[#This Row],[Discount_%]]/100)</f>
        <v>0</v>
      </c>
      <c r="O26" s="3">
        <f>Table1[[#This Row],[Revenue]]-Table1[[#This Row],[Discount Amount]]</f>
        <v>8000</v>
      </c>
      <c r="P26" s="1">
        <f>Table1[[#This Row],[Profit]]/Table1[[#This Row],[Final Sales]]</f>
        <v>0.35</v>
      </c>
    </row>
    <row r="27" spans="1:16">
      <c r="A27">
        <v>26</v>
      </c>
      <c r="B27" s="2" t="s">
        <v>63</v>
      </c>
      <c r="C27" s="2" t="str">
        <f>TEXT(Table1[[#This Row],[Order_Date]],"mmm")</f>
        <v>May</v>
      </c>
      <c r="D27" t="s">
        <v>17</v>
      </c>
      <c r="E27" t="s">
        <v>34</v>
      </c>
      <c r="F27" t="s">
        <v>24</v>
      </c>
      <c r="G27" t="s">
        <v>25</v>
      </c>
      <c r="H27">
        <v>14</v>
      </c>
      <c r="I27" s="3">
        <v>2500</v>
      </c>
      <c r="J27" s="4">
        <v>0</v>
      </c>
      <c r="K27" s="3">
        <f>Table1[[#This Row],[Quantity]]*Table1[[#This Row],[Unit_Price]]</f>
        <v>35000</v>
      </c>
      <c r="L27" s="3">
        <v>22750</v>
      </c>
      <c r="M27" s="3">
        <f>Table1[[#This Row],[Final Sales]]-Table1[[#This Row],[Cost]]</f>
        <v>12250</v>
      </c>
      <c r="N27" s="3">
        <f>Table1[[#This Row],[Revenue]]*(Table1[[#This Row],[Discount_%]]/100)</f>
        <v>0</v>
      </c>
      <c r="O27" s="3">
        <f>Table1[[#This Row],[Revenue]]-Table1[[#This Row],[Discount Amount]]</f>
        <v>35000</v>
      </c>
      <c r="P27" s="1">
        <f>Table1[[#This Row],[Profit]]/Table1[[#This Row],[Final Sales]]</f>
        <v>0.35</v>
      </c>
    </row>
    <row r="28" spans="1:16">
      <c r="A28">
        <v>27</v>
      </c>
      <c r="B28" s="2" t="s">
        <v>64</v>
      </c>
      <c r="C28" s="2" t="str">
        <f>TEXT(Table1[[#This Row],[Order_Date]],"mmm")</f>
        <v>Mar</v>
      </c>
      <c r="D28" t="s">
        <v>27</v>
      </c>
      <c r="E28" t="s">
        <v>37</v>
      </c>
      <c r="F28" t="s">
        <v>19</v>
      </c>
      <c r="G28" t="s">
        <v>48</v>
      </c>
      <c r="H28">
        <v>4</v>
      </c>
      <c r="I28" s="3">
        <v>500</v>
      </c>
      <c r="J28" s="4">
        <v>15</v>
      </c>
      <c r="K28" s="3">
        <f>Table1[[#This Row],[Quantity]]*Table1[[#This Row],[Unit_Price]]</f>
        <v>2000</v>
      </c>
      <c r="L28" s="3">
        <v>1300</v>
      </c>
      <c r="M28" s="3">
        <f>Table1[[#This Row],[Final Sales]]-Table1[[#This Row],[Cost]]</f>
        <v>400</v>
      </c>
      <c r="N28" s="3">
        <f>Table1[[#This Row],[Revenue]]*(Table1[[#This Row],[Discount_%]]/100)</f>
        <v>300</v>
      </c>
      <c r="O28" s="3">
        <f>Table1[[#This Row],[Revenue]]-Table1[[#This Row],[Discount Amount]]</f>
        <v>1700</v>
      </c>
      <c r="P28" s="1">
        <f>Table1[[#This Row],[Profit]]/Table1[[#This Row],[Final Sales]]</f>
        <v>0.23529411764705882</v>
      </c>
    </row>
    <row r="29" spans="1:16">
      <c r="A29">
        <v>28</v>
      </c>
      <c r="B29" s="2" t="s">
        <v>65</v>
      </c>
      <c r="C29" s="2" t="str">
        <f>TEXT(Table1[[#This Row],[Order_Date]],"mmm")</f>
        <v>Apr</v>
      </c>
      <c r="D29" t="s">
        <v>27</v>
      </c>
      <c r="E29" t="s">
        <v>37</v>
      </c>
      <c r="F29" t="s">
        <v>24</v>
      </c>
      <c r="G29" t="s">
        <v>25</v>
      </c>
      <c r="H29">
        <v>2</v>
      </c>
      <c r="I29" s="3">
        <v>5000</v>
      </c>
      <c r="J29" s="4">
        <v>10</v>
      </c>
      <c r="K29" s="3">
        <f>Table1[[#This Row],[Quantity]]*Table1[[#This Row],[Unit_Price]]</f>
        <v>10000</v>
      </c>
      <c r="L29" s="3">
        <v>6500</v>
      </c>
      <c r="M29" s="3">
        <f>Table1[[#This Row],[Final Sales]]-Table1[[#This Row],[Cost]]</f>
        <v>2500</v>
      </c>
      <c r="N29" s="3">
        <f>Table1[[#This Row],[Revenue]]*(Table1[[#This Row],[Discount_%]]/100)</f>
        <v>1000</v>
      </c>
      <c r="O29" s="3">
        <f>Table1[[#This Row],[Revenue]]-Table1[[#This Row],[Discount Amount]]</f>
        <v>9000</v>
      </c>
      <c r="P29" s="1">
        <f>Table1[[#This Row],[Profit]]/Table1[[#This Row],[Final Sales]]</f>
        <v>0.27777777777777779</v>
      </c>
    </row>
    <row r="30" spans="1:16">
      <c r="A30">
        <v>29</v>
      </c>
      <c r="B30" s="2" t="s">
        <v>66</v>
      </c>
      <c r="C30" s="2" t="str">
        <f>TEXT(Table1[[#This Row],[Order_Date]],"mmm")</f>
        <v>Apr</v>
      </c>
      <c r="D30" t="s">
        <v>30</v>
      </c>
      <c r="E30" t="s">
        <v>56</v>
      </c>
      <c r="F30" t="s">
        <v>19</v>
      </c>
      <c r="G30" t="s">
        <v>20</v>
      </c>
      <c r="H30">
        <v>11</v>
      </c>
      <c r="I30" s="3">
        <v>250</v>
      </c>
      <c r="J30" s="4">
        <v>0</v>
      </c>
      <c r="K30" s="3">
        <f>Table1[[#This Row],[Quantity]]*Table1[[#This Row],[Unit_Price]]</f>
        <v>2750</v>
      </c>
      <c r="L30" s="3">
        <v>1787.5</v>
      </c>
      <c r="M30" s="3">
        <f>Table1[[#This Row],[Final Sales]]-Table1[[#This Row],[Cost]]</f>
        <v>962.5</v>
      </c>
      <c r="N30" s="3">
        <f>Table1[[#This Row],[Revenue]]*(Table1[[#This Row],[Discount_%]]/100)</f>
        <v>0</v>
      </c>
      <c r="O30" s="3">
        <f>Table1[[#This Row],[Revenue]]-Table1[[#This Row],[Discount Amount]]</f>
        <v>2750</v>
      </c>
      <c r="P30" s="1">
        <f>Table1[[#This Row],[Profit]]/Table1[[#This Row],[Final Sales]]</f>
        <v>0.35</v>
      </c>
    </row>
    <row r="31" spans="1:16">
      <c r="A31">
        <v>30</v>
      </c>
      <c r="B31" s="2" t="s">
        <v>65</v>
      </c>
      <c r="C31" s="2" t="str">
        <f>TEXT(Table1[[#This Row],[Order_Date]],"mmm")</f>
        <v>Apr</v>
      </c>
      <c r="D31" t="s">
        <v>17</v>
      </c>
      <c r="E31" t="s">
        <v>34</v>
      </c>
      <c r="F31" t="s">
        <v>24</v>
      </c>
      <c r="G31" t="s">
        <v>67</v>
      </c>
      <c r="H31">
        <v>4</v>
      </c>
      <c r="I31" s="3">
        <v>12000</v>
      </c>
      <c r="J31" s="4">
        <v>5</v>
      </c>
      <c r="K31" s="3">
        <f>Table1[[#This Row],[Quantity]]*Table1[[#This Row],[Unit_Price]]</f>
        <v>48000</v>
      </c>
      <c r="L31" s="3">
        <v>31200</v>
      </c>
      <c r="M31" s="3">
        <f>Table1[[#This Row],[Final Sales]]-Table1[[#This Row],[Cost]]</f>
        <v>14400</v>
      </c>
      <c r="N31" s="3">
        <f>Table1[[#This Row],[Revenue]]*(Table1[[#This Row],[Discount_%]]/100)</f>
        <v>2400</v>
      </c>
      <c r="O31" s="3">
        <f>Table1[[#This Row],[Revenue]]-Table1[[#This Row],[Discount Amount]]</f>
        <v>45600</v>
      </c>
      <c r="P31" s="1">
        <f>Table1[[#This Row],[Profit]]/Table1[[#This Row],[Final Sales]]</f>
        <v>0.31578947368421051</v>
      </c>
    </row>
    <row r="32" spans="1:16">
      <c r="A32">
        <v>31</v>
      </c>
      <c r="B32" s="2" t="s">
        <v>68</v>
      </c>
      <c r="C32" s="2" t="str">
        <f>TEXT(Table1[[#This Row],[Order_Date]],"mmm")</f>
        <v>May</v>
      </c>
      <c r="D32" t="s">
        <v>22</v>
      </c>
      <c r="E32" t="s">
        <v>56</v>
      </c>
      <c r="F32" t="s">
        <v>31</v>
      </c>
      <c r="G32" t="s">
        <v>44</v>
      </c>
      <c r="H32">
        <v>14</v>
      </c>
      <c r="I32" s="3">
        <v>250</v>
      </c>
      <c r="J32" s="4">
        <v>15</v>
      </c>
      <c r="K32" s="3">
        <f>Table1[[#This Row],[Quantity]]*Table1[[#This Row],[Unit_Price]]</f>
        <v>3500</v>
      </c>
      <c r="L32" s="3">
        <v>2275</v>
      </c>
      <c r="M32" s="3">
        <f>Table1[[#This Row],[Final Sales]]-Table1[[#This Row],[Cost]]</f>
        <v>700</v>
      </c>
      <c r="N32" s="3">
        <f>Table1[[#This Row],[Revenue]]*(Table1[[#This Row],[Discount_%]]/100)</f>
        <v>525</v>
      </c>
      <c r="O32" s="3">
        <f>Table1[[#This Row],[Revenue]]-Table1[[#This Row],[Discount Amount]]</f>
        <v>2975</v>
      </c>
      <c r="P32" s="1">
        <f>Table1[[#This Row],[Profit]]/Table1[[#This Row],[Final Sales]]</f>
        <v>0.23529411764705882</v>
      </c>
    </row>
    <row r="33" spans="1:16">
      <c r="A33">
        <v>32</v>
      </c>
      <c r="B33" s="2" t="s">
        <v>69</v>
      </c>
      <c r="C33" s="2" t="str">
        <f>TEXT(Table1[[#This Row],[Order_Date]],"mmm")</f>
        <v>Apr</v>
      </c>
      <c r="D33" t="s">
        <v>27</v>
      </c>
      <c r="E33" t="s">
        <v>37</v>
      </c>
      <c r="F33" t="s">
        <v>19</v>
      </c>
      <c r="G33" t="s">
        <v>20</v>
      </c>
      <c r="H33">
        <v>2</v>
      </c>
      <c r="I33" s="3">
        <v>800</v>
      </c>
      <c r="J33" s="4">
        <v>5</v>
      </c>
      <c r="K33" s="3">
        <f>Table1[[#This Row],[Quantity]]*Table1[[#This Row],[Unit_Price]]</f>
        <v>1600</v>
      </c>
      <c r="L33" s="3">
        <v>1040</v>
      </c>
      <c r="M33" s="3">
        <f>Table1[[#This Row],[Final Sales]]-Table1[[#This Row],[Cost]]</f>
        <v>480</v>
      </c>
      <c r="N33" s="3">
        <f>Table1[[#This Row],[Revenue]]*(Table1[[#This Row],[Discount_%]]/100)</f>
        <v>80</v>
      </c>
      <c r="O33" s="3">
        <f>Table1[[#This Row],[Revenue]]-Table1[[#This Row],[Discount Amount]]</f>
        <v>1520</v>
      </c>
      <c r="P33" s="1">
        <f>Table1[[#This Row],[Profit]]/Table1[[#This Row],[Final Sales]]</f>
        <v>0.31578947368421051</v>
      </c>
    </row>
    <row r="34" spans="1:16">
      <c r="A34">
        <v>33</v>
      </c>
      <c r="B34" s="2" t="s">
        <v>40</v>
      </c>
      <c r="C34" s="2" t="str">
        <f>TEXT(Table1[[#This Row],[Order_Date]],"mmm")</f>
        <v>Apr</v>
      </c>
      <c r="D34" t="s">
        <v>22</v>
      </c>
      <c r="E34" t="s">
        <v>37</v>
      </c>
      <c r="F34" t="s">
        <v>24</v>
      </c>
      <c r="G34" t="s">
        <v>53</v>
      </c>
      <c r="H34">
        <v>15</v>
      </c>
      <c r="I34" s="3">
        <v>150</v>
      </c>
      <c r="J34" s="4">
        <v>5</v>
      </c>
      <c r="K34" s="3">
        <f>Table1[[#This Row],[Quantity]]*Table1[[#This Row],[Unit_Price]]</f>
        <v>2250</v>
      </c>
      <c r="L34" s="3">
        <v>1462.5</v>
      </c>
      <c r="M34" s="3">
        <f>Table1[[#This Row],[Final Sales]]-Table1[[#This Row],[Cost]]</f>
        <v>675</v>
      </c>
      <c r="N34" s="3">
        <f>Table1[[#This Row],[Revenue]]*(Table1[[#This Row],[Discount_%]]/100)</f>
        <v>112.5</v>
      </c>
      <c r="O34" s="3">
        <f>Table1[[#This Row],[Revenue]]-Table1[[#This Row],[Discount Amount]]</f>
        <v>2137.5</v>
      </c>
      <c r="P34" s="1">
        <f>Table1[[#This Row],[Profit]]/Table1[[#This Row],[Final Sales]]</f>
        <v>0.31578947368421051</v>
      </c>
    </row>
    <row r="35" spans="1:16">
      <c r="A35">
        <v>34</v>
      </c>
      <c r="B35" s="2" t="s">
        <v>49</v>
      </c>
      <c r="C35" s="2" t="str">
        <f>TEXT(Table1[[#This Row],[Order_Date]],"mmm")</f>
        <v>Feb</v>
      </c>
      <c r="D35" t="s">
        <v>17</v>
      </c>
      <c r="E35" t="s">
        <v>34</v>
      </c>
      <c r="F35" t="s">
        <v>31</v>
      </c>
      <c r="G35" t="s">
        <v>57</v>
      </c>
      <c r="H35">
        <v>5</v>
      </c>
      <c r="I35" s="3">
        <v>5000</v>
      </c>
      <c r="J35" s="4">
        <v>15</v>
      </c>
      <c r="K35" s="3">
        <f>Table1[[#This Row],[Quantity]]*Table1[[#This Row],[Unit_Price]]</f>
        <v>25000</v>
      </c>
      <c r="L35" s="3">
        <v>16250</v>
      </c>
      <c r="M35" s="3">
        <f>Table1[[#This Row],[Final Sales]]-Table1[[#This Row],[Cost]]</f>
        <v>5000</v>
      </c>
      <c r="N35" s="3">
        <f>Table1[[#This Row],[Revenue]]*(Table1[[#This Row],[Discount_%]]/100)</f>
        <v>3750</v>
      </c>
      <c r="O35" s="3">
        <f>Table1[[#This Row],[Revenue]]-Table1[[#This Row],[Discount Amount]]</f>
        <v>21250</v>
      </c>
      <c r="P35" s="1">
        <f>Table1[[#This Row],[Profit]]/Table1[[#This Row],[Final Sales]]</f>
        <v>0.23529411764705882</v>
      </c>
    </row>
    <row r="36" spans="1:16">
      <c r="A36">
        <v>35</v>
      </c>
      <c r="B36" s="2" t="s">
        <v>70</v>
      </c>
      <c r="C36" s="2" t="str">
        <f>TEXT(Table1[[#This Row],[Order_Date]],"mmm")</f>
        <v>Jan</v>
      </c>
      <c r="D36" t="s">
        <v>22</v>
      </c>
      <c r="E36" t="s">
        <v>28</v>
      </c>
      <c r="F36" t="s">
        <v>24</v>
      </c>
      <c r="G36" t="s">
        <v>25</v>
      </c>
      <c r="H36">
        <v>10</v>
      </c>
      <c r="I36" s="3">
        <v>150</v>
      </c>
      <c r="J36" s="4">
        <v>10</v>
      </c>
      <c r="K36" s="3">
        <f>Table1[[#This Row],[Quantity]]*Table1[[#This Row],[Unit_Price]]</f>
        <v>1500</v>
      </c>
      <c r="L36" s="3">
        <v>975</v>
      </c>
      <c r="M36" s="3">
        <f>Table1[[#This Row],[Final Sales]]-Table1[[#This Row],[Cost]]</f>
        <v>375</v>
      </c>
      <c r="N36" s="3">
        <f>Table1[[#This Row],[Revenue]]*(Table1[[#This Row],[Discount_%]]/100)</f>
        <v>150</v>
      </c>
      <c r="O36" s="3">
        <f>Table1[[#This Row],[Revenue]]-Table1[[#This Row],[Discount Amount]]</f>
        <v>1350</v>
      </c>
      <c r="P36" s="1">
        <f>Table1[[#This Row],[Profit]]/Table1[[#This Row],[Final Sales]]</f>
        <v>0.27777777777777779</v>
      </c>
    </row>
    <row r="37" spans="1:16">
      <c r="A37">
        <v>36</v>
      </c>
      <c r="B37" s="2" t="s">
        <v>39</v>
      </c>
      <c r="C37" s="2" t="str">
        <f>TEXT(Table1[[#This Row],[Order_Date]],"mmm")</f>
        <v>Jan</v>
      </c>
      <c r="D37" t="s">
        <v>22</v>
      </c>
      <c r="E37" t="s">
        <v>18</v>
      </c>
      <c r="F37" t="s">
        <v>31</v>
      </c>
      <c r="G37" t="s">
        <v>44</v>
      </c>
      <c r="H37">
        <v>1</v>
      </c>
      <c r="I37" s="3">
        <v>250</v>
      </c>
      <c r="J37" s="4">
        <v>5</v>
      </c>
      <c r="K37" s="3">
        <f>Table1[[#This Row],[Quantity]]*Table1[[#This Row],[Unit_Price]]</f>
        <v>250</v>
      </c>
      <c r="L37" s="3">
        <v>162.5</v>
      </c>
      <c r="M37" s="3">
        <f>Table1[[#This Row],[Final Sales]]-Table1[[#This Row],[Cost]]</f>
        <v>75</v>
      </c>
      <c r="N37" s="3">
        <f>Table1[[#This Row],[Revenue]]*(Table1[[#This Row],[Discount_%]]/100)</f>
        <v>12.5</v>
      </c>
      <c r="O37" s="3">
        <f>Table1[[#This Row],[Revenue]]-Table1[[#This Row],[Discount Amount]]</f>
        <v>237.5</v>
      </c>
      <c r="P37" s="1">
        <f>Table1[[#This Row],[Profit]]/Table1[[#This Row],[Final Sales]]</f>
        <v>0.31578947368421051</v>
      </c>
    </row>
    <row r="38" spans="1:16">
      <c r="A38">
        <v>37</v>
      </c>
      <c r="B38" s="2" t="s">
        <v>71</v>
      </c>
      <c r="C38" s="2" t="str">
        <f>TEXT(Table1[[#This Row],[Order_Date]],"mmm")</f>
        <v>Jun</v>
      </c>
      <c r="D38" t="s">
        <v>22</v>
      </c>
      <c r="E38" t="s">
        <v>37</v>
      </c>
      <c r="F38" t="s">
        <v>24</v>
      </c>
      <c r="G38" t="s">
        <v>53</v>
      </c>
      <c r="H38">
        <v>2</v>
      </c>
      <c r="I38" s="3">
        <v>800</v>
      </c>
      <c r="J38" s="4">
        <v>0</v>
      </c>
      <c r="K38" s="3">
        <f>Table1[[#This Row],[Quantity]]*Table1[[#This Row],[Unit_Price]]</f>
        <v>1600</v>
      </c>
      <c r="L38" s="3">
        <v>1040</v>
      </c>
      <c r="M38" s="3">
        <f>Table1[[#This Row],[Final Sales]]-Table1[[#This Row],[Cost]]</f>
        <v>560</v>
      </c>
      <c r="N38" s="3">
        <f>Table1[[#This Row],[Revenue]]*(Table1[[#This Row],[Discount_%]]/100)</f>
        <v>0</v>
      </c>
      <c r="O38" s="3">
        <f>Table1[[#This Row],[Revenue]]-Table1[[#This Row],[Discount Amount]]</f>
        <v>1600</v>
      </c>
      <c r="P38" s="1">
        <f>Table1[[#This Row],[Profit]]/Table1[[#This Row],[Final Sales]]</f>
        <v>0.35</v>
      </c>
    </row>
    <row r="39" spans="1:16">
      <c r="A39">
        <v>38</v>
      </c>
      <c r="B39" s="2" t="s">
        <v>59</v>
      </c>
      <c r="C39" s="2" t="str">
        <f>TEXT(Table1[[#This Row],[Order_Date]],"mmm")</f>
        <v>Jun</v>
      </c>
      <c r="D39" t="s">
        <v>30</v>
      </c>
      <c r="E39" t="s">
        <v>23</v>
      </c>
      <c r="F39" t="s">
        <v>19</v>
      </c>
      <c r="G39" t="s">
        <v>38</v>
      </c>
      <c r="H39">
        <v>15</v>
      </c>
      <c r="I39" s="3">
        <v>1200</v>
      </c>
      <c r="J39" s="4">
        <v>5</v>
      </c>
      <c r="K39" s="3">
        <f>Table1[[#This Row],[Quantity]]*Table1[[#This Row],[Unit_Price]]</f>
        <v>18000</v>
      </c>
      <c r="L39" s="3">
        <v>11700</v>
      </c>
      <c r="M39" s="3">
        <f>Table1[[#This Row],[Final Sales]]-Table1[[#This Row],[Cost]]</f>
        <v>5400</v>
      </c>
      <c r="N39" s="3">
        <f>Table1[[#This Row],[Revenue]]*(Table1[[#This Row],[Discount_%]]/100)</f>
        <v>900</v>
      </c>
      <c r="O39" s="3">
        <f>Table1[[#This Row],[Revenue]]-Table1[[#This Row],[Discount Amount]]</f>
        <v>17100</v>
      </c>
      <c r="P39" s="1">
        <f>Table1[[#This Row],[Profit]]/Table1[[#This Row],[Final Sales]]</f>
        <v>0.31578947368421051</v>
      </c>
    </row>
    <row r="40" spans="1:16">
      <c r="A40">
        <v>39</v>
      </c>
      <c r="B40" s="2" t="s">
        <v>72</v>
      </c>
      <c r="C40" s="2" t="str">
        <f>TEXT(Table1[[#This Row],[Order_Date]],"mmm")</f>
        <v>Mar</v>
      </c>
      <c r="D40" t="s">
        <v>22</v>
      </c>
      <c r="E40" t="s">
        <v>56</v>
      </c>
      <c r="F40" t="s">
        <v>31</v>
      </c>
      <c r="G40" t="s">
        <v>57</v>
      </c>
      <c r="H40">
        <v>3</v>
      </c>
      <c r="I40" s="3">
        <v>1200</v>
      </c>
      <c r="J40" s="4">
        <v>15</v>
      </c>
      <c r="K40" s="3">
        <f>Table1[[#This Row],[Quantity]]*Table1[[#This Row],[Unit_Price]]</f>
        <v>3600</v>
      </c>
      <c r="L40" s="3">
        <v>2340</v>
      </c>
      <c r="M40" s="3">
        <f>Table1[[#This Row],[Final Sales]]-Table1[[#This Row],[Cost]]</f>
        <v>720</v>
      </c>
      <c r="N40" s="3">
        <f>Table1[[#This Row],[Revenue]]*(Table1[[#This Row],[Discount_%]]/100)</f>
        <v>540</v>
      </c>
      <c r="O40" s="3">
        <f>Table1[[#This Row],[Revenue]]-Table1[[#This Row],[Discount Amount]]</f>
        <v>3060</v>
      </c>
      <c r="P40" s="1">
        <f>Table1[[#This Row],[Profit]]/Table1[[#This Row],[Final Sales]]</f>
        <v>0.23529411764705882</v>
      </c>
    </row>
    <row r="41" spans="1:16">
      <c r="A41">
        <v>40</v>
      </c>
      <c r="B41" s="2" t="s">
        <v>73</v>
      </c>
      <c r="C41" s="2" t="str">
        <f>TEXT(Table1[[#This Row],[Order_Date]],"mmm")</f>
        <v>Feb</v>
      </c>
      <c r="D41" t="s">
        <v>30</v>
      </c>
      <c r="E41" t="s">
        <v>56</v>
      </c>
      <c r="F41" t="s">
        <v>31</v>
      </c>
      <c r="G41" t="s">
        <v>32</v>
      </c>
      <c r="H41">
        <v>2</v>
      </c>
      <c r="I41" s="3">
        <v>800</v>
      </c>
      <c r="J41" s="4">
        <v>10</v>
      </c>
      <c r="K41" s="3">
        <f>Table1[[#This Row],[Quantity]]*Table1[[#This Row],[Unit_Price]]</f>
        <v>1600</v>
      </c>
      <c r="L41" s="3">
        <v>1040</v>
      </c>
      <c r="M41" s="3">
        <f>Table1[[#This Row],[Final Sales]]-Table1[[#This Row],[Cost]]</f>
        <v>400</v>
      </c>
      <c r="N41" s="3">
        <f>Table1[[#This Row],[Revenue]]*(Table1[[#This Row],[Discount_%]]/100)</f>
        <v>160</v>
      </c>
      <c r="O41" s="3">
        <f>Table1[[#This Row],[Revenue]]-Table1[[#This Row],[Discount Amount]]</f>
        <v>1440</v>
      </c>
      <c r="P41" s="1">
        <f>Table1[[#This Row],[Profit]]/Table1[[#This Row],[Final Sales]]</f>
        <v>0.27777777777777779</v>
      </c>
    </row>
    <row r="42" spans="1:16">
      <c r="A42">
        <v>41</v>
      </c>
      <c r="B42" s="2" t="s">
        <v>74</v>
      </c>
      <c r="C42" s="2" t="str">
        <f>TEXT(Table1[[#This Row],[Order_Date]],"mmm")</f>
        <v>May</v>
      </c>
      <c r="D42" t="s">
        <v>30</v>
      </c>
      <c r="E42" t="s">
        <v>28</v>
      </c>
      <c r="F42" t="s">
        <v>24</v>
      </c>
      <c r="G42" t="s">
        <v>35</v>
      </c>
      <c r="H42">
        <v>5</v>
      </c>
      <c r="I42" s="3">
        <v>500</v>
      </c>
      <c r="J42" s="4">
        <v>15</v>
      </c>
      <c r="K42" s="3">
        <f>Table1[[#This Row],[Quantity]]*Table1[[#This Row],[Unit_Price]]</f>
        <v>2500</v>
      </c>
      <c r="L42" s="3">
        <v>1625</v>
      </c>
      <c r="M42" s="3">
        <f>Table1[[#This Row],[Final Sales]]-Table1[[#This Row],[Cost]]</f>
        <v>500</v>
      </c>
      <c r="N42" s="3">
        <f>Table1[[#This Row],[Revenue]]*(Table1[[#This Row],[Discount_%]]/100)</f>
        <v>375</v>
      </c>
      <c r="O42" s="3">
        <f>Table1[[#This Row],[Revenue]]-Table1[[#This Row],[Discount Amount]]</f>
        <v>2125</v>
      </c>
      <c r="P42" s="1">
        <f>Table1[[#This Row],[Profit]]/Table1[[#This Row],[Final Sales]]</f>
        <v>0.23529411764705882</v>
      </c>
    </row>
    <row r="43" spans="1:16">
      <c r="A43">
        <v>42</v>
      </c>
      <c r="B43" s="2" t="s">
        <v>75</v>
      </c>
      <c r="C43" s="2" t="str">
        <f>TEXT(Table1[[#This Row],[Order_Date]],"mmm")</f>
        <v>Feb</v>
      </c>
      <c r="D43" t="s">
        <v>30</v>
      </c>
      <c r="E43" t="s">
        <v>56</v>
      </c>
      <c r="F43" t="s">
        <v>19</v>
      </c>
      <c r="G43" t="s">
        <v>20</v>
      </c>
      <c r="H43">
        <v>11</v>
      </c>
      <c r="I43" s="3">
        <v>1200</v>
      </c>
      <c r="J43" s="4">
        <v>0</v>
      </c>
      <c r="K43" s="3">
        <f>Table1[[#This Row],[Quantity]]*Table1[[#This Row],[Unit_Price]]</f>
        <v>13200</v>
      </c>
      <c r="L43" s="3">
        <v>8580</v>
      </c>
      <c r="M43" s="3">
        <f>Table1[[#This Row],[Final Sales]]-Table1[[#This Row],[Cost]]</f>
        <v>4620</v>
      </c>
      <c r="N43" s="3">
        <f>Table1[[#This Row],[Revenue]]*(Table1[[#This Row],[Discount_%]]/100)</f>
        <v>0</v>
      </c>
      <c r="O43" s="3">
        <f>Table1[[#This Row],[Revenue]]-Table1[[#This Row],[Discount Amount]]</f>
        <v>13200</v>
      </c>
      <c r="P43" s="1">
        <f>Table1[[#This Row],[Profit]]/Table1[[#This Row],[Final Sales]]</f>
        <v>0.35</v>
      </c>
    </row>
    <row r="44" spans="1:16">
      <c r="A44">
        <v>43</v>
      </c>
      <c r="B44" s="2" t="s">
        <v>29</v>
      </c>
      <c r="C44" s="2" t="str">
        <f>TEXT(Table1[[#This Row],[Order_Date]],"mmm")</f>
        <v>Mar</v>
      </c>
      <c r="D44" t="s">
        <v>17</v>
      </c>
      <c r="E44" t="s">
        <v>18</v>
      </c>
      <c r="F44" t="s">
        <v>24</v>
      </c>
      <c r="G44" t="s">
        <v>67</v>
      </c>
      <c r="H44">
        <v>5</v>
      </c>
      <c r="I44" s="3">
        <v>1200</v>
      </c>
      <c r="J44" s="4">
        <v>5</v>
      </c>
      <c r="K44" s="3">
        <f>Table1[[#This Row],[Quantity]]*Table1[[#This Row],[Unit_Price]]</f>
        <v>6000</v>
      </c>
      <c r="L44" s="3">
        <v>3900</v>
      </c>
      <c r="M44" s="3">
        <f>Table1[[#This Row],[Final Sales]]-Table1[[#This Row],[Cost]]</f>
        <v>1800</v>
      </c>
      <c r="N44" s="3">
        <f>Table1[[#This Row],[Revenue]]*(Table1[[#This Row],[Discount_%]]/100)</f>
        <v>300</v>
      </c>
      <c r="O44" s="3">
        <f>Table1[[#This Row],[Revenue]]-Table1[[#This Row],[Discount Amount]]</f>
        <v>5700</v>
      </c>
      <c r="P44" s="1">
        <f>Table1[[#This Row],[Profit]]/Table1[[#This Row],[Final Sales]]</f>
        <v>0.31578947368421051</v>
      </c>
    </row>
    <row r="45" spans="1:16">
      <c r="A45">
        <v>44</v>
      </c>
      <c r="B45" s="2" t="s">
        <v>76</v>
      </c>
      <c r="C45" s="2" t="str">
        <f>TEXT(Table1[[#This Row],[Order_Date]],"mmm")</f>
        <v>Jan</v>
      </c>
      <c r="D45" t="s">
        <v>22</v>
      </c>
      <c r="E45" t="s">
        <v>18</v>
      </c>
      <c r="F45" t="s">
        <v>19</v>
      </c>
      <c r="G45" t="s">
        <v>38</v>
      </c>
      <c r="H45">
        <v>9</v>
      </c>
      <c r="I45" s="3">
        <v>12000</v>
      </c>
      <c r="J45" s="4">
        <v>10</v>
      </c>
      <c r="K45" s="3">
        <f>Table1[[#This Row],[Quantity]]*Table1[[#This Row],[Unit_Price]]</f>
        <v>108000</v>
      </c>
      <c r="L45" s="3">
        <v>70200</v>
      </c>
      <c r="M45" s="3">
        <f>Table1[[#This Row],[Final Sales]]-Table1[[#This Row],[Cost]]</f>
        <v>27000</v>
      </c>
      <c r="N45" s="3">
        <f>Table1[[#This Row],[Revenue]]*(Table1[[#This Row],[Discount_%]]/100)</f>
        <v>10800</v>
      </c>
      <c r="O45" s="3">
        <f>Table1[[#This Row],[Revenue]]-Table1[[#This Row],[Discount Amount]]</f>
        <v>97200</v>
      </c>
      <c r="P45" s="1">
        <f>Table1[[#This Row],[Profit]]/Table1[[#This Row],[Final Sales]]</f>
        <v>0.27777777777777779</v>
      </c>
    </row>
    <row r="46" spans="1:16">
      <c r="A46">
        <v>45</v>
      </c>
      <c r="B46" s="2" t="s">
        <v>73</v>
      </c>
      <c r="C46" s="2" t="str">
        <f>TEXT(Table1[[#This Row],[Order_Date]],"mmm")</f>
        <v>Feb</v>
      </c>
      <c r="D46" t="s">
        <v>30</v>
      </c>
      <c r="E46" t="s">
        <v>23</v>
      </c>
      <c r="F46" t="s">
        <v>31</v>
      </c>
      <c r="G46" t="s">
        <v>46</v>
      </c>
      <c r="H46">
        <v>1</v>
      </c>
      <c r="I46" s="3">
        <v>150</v>
      </c>
      <c r="J46" s="4">
        <v>10</v>
      </c>
      <c r="K46" s="3">
        <f>Table1[[#This Row],[Quantity]]*Table1[[#This Row],[Unit_Price]]</f>
        <v>150</v>
      </c>
      <c r="L46" s="3">
        <v>97.5</v>
      </c>
      <c r="M46" s="3">
        <f>Table1[[#This Row],[Final Sales]]-Table1[[#This Row],[Cost]]</f>
        <v>37.5</v>
      </c>
      <c r="N46" s="3">
        <f>Table1[[#This Row],[Revenue]]*(Table1[[#This Row],[Discount_%]]/100)</f>
        <v>15</v>
      </c>
      <c r="O46" s="3">
        <f>Table1[[#This Row],[Revenue]]-Table1[[#This Row],[Discount Amount]]</f>
        <v>135</v>
      </c>
      <c r="P46" s="1">
        <f>Table1[[#This Row],[Profit]]/Table1[[#This Row],[Final Sales]]</f>
        <v>0.27777777777777779</v>
      </c>
    </row>
    <row r="47" spans="1:16">
      <c r="A47">
        <v>46</v>
      </c>
      <c r="B47" s="2" t="s">
        <v>51</v>
      </c>
      <c r="C47" s="2" t="str">
        <f>TEXT(Table1[[#This Row],[Order_Date]],"mmm")</f>
        <v>Jan</v>
      </c>
      <c r="D47" t="s">
        <v>22</v>
      </c>
      <c r="E47" t="s">
        <v>18</v>
      </c>
      <c r="F47" t="s">
        <v>19</v>
      </c>
      <c r="G47" t="s">
        <v>48</v>
      </c>
      <c r="H47">
        <v>9</v>
      </c>
      <c r="I47" s="3">
        <v>5000</v>
      </c>
      <c r="J47" s="4">
        <v>0</v>
      </c>
      <c r="K47" s="3">
        <f>Table1[[#This Row],[Quantity]]*Table1[[#This Row],[Unit_Price]]</f>
        <v>45000</v>
      </c>
      <c r="L47" s="3">
        <v>29250</v>
      </c>
      <c r="M47" s="3">
        <f>Table1[[#This Row],[Final Sales]]-Table1[[#This Row],[Cost]]</f>
        <v>15750</v>
      </c>
      <c r="N47" s="3">
        <f>Table1[[#This Row],[Revenue]]*(Table1[[#This Row],[Discount_%]]/100)</f>
        <v>0</v>
      </c>
      <c r="O47" s="3">
        <f>Table1[[#This Row],[Revenue]]-Table1[[#This Row],[Discount Amount]]</f>
        <v>45000</v>
      </c>
      <c r="P47" s="1">
        <f>Table1[[#This Row],[Profit]]/Table1[[#This Row],[Final Sales]]</f>
        <v>0.35</v>
      </c>
    </row>
    <row r="48" spans="1:16">
      <c r="A48">
        <v>47</v>
      </c>
      <c r="B48" s="2" t="s">
        <v>77</v>
      </c>
      <c r="C48" s="2" t="str">
        <f>TEXT(Table1[[#This Row],[Order_Date]],"mmm")</f>
        <v>Apr</v>
      </c>
      <c r="D48" t="s">
        <v>17</v>
      </c>
      <c r="E48" t="s">
        <v>56</v>
      </c>
      <c r="F48" t="s">
        <v>24</v>
      </c>
      <c r="G48" t="s">
        <v>25</v>
      </c>
      <c r="H48">
        <v>14</v>
      </c>
      <c r="I48" s="3">
        <v>2500</v>
      </c>
      <c r="J48" s="4">
        <v>5</v>
      </c>
      <c r="K48" s="3">
        <f>Table1[[#This Row],[Quantity]]*Table1[[#This Row],[Unit_Price]]</f>
        <v>35000</v>
      </c>
      <c r="L48" s="3">
        <v>22750</v>
      </c>
      <c r="M48" s="3">
        <f>Table1[[#This Row],[Final Sales]]-Table1[[#This Row],[Cost]]</f>
        <v>10500</v>
      </c>
      <c r="N48" s="3">
        <f>Table1[[#This Row],[Revenue]]*(Table1[[#This Row],[Discount_%]]/100)</f>
        <v>1750</v>
      </c>
      <c r="O48" s="3">
        <f>Table1[[#This Row],[Revenue]]-Table1[[#This Row],[Discount Amount]]</f>
        <v>33250</v>
      </c>
      <c r="P48" s="1">
        <f>Table1[[#This Row],[Profit]]/Table1[[#This Row],[Final Sales]]</f>
        <v>0.31578947368421051</v>
      </c>
    </row>
    <row r="49" spans="1:16">
      <c r="A49">
        <v>48</v>
      </c>
      <c r="B49" s="2" t="s">
        <v>41</v>
      </c>
      <c r="C49" s="2" t="str">
        <f>TEXT(Table1[[#This Row],[Order_Date]],"mmm")</f>
        <v>Feb</v>
      </c>
      <c r="D49" t="s">
        <v>17</v>
      </c>
      <c r="E49" t="s">
        <v>18</v>
      </c>
      <c r="F49" t="s">
        <v>31</v>
      </c>
      <c r="G49" t="s">
        <v>46</v>
      </c>
      <c r="H49">
        <v>15</v>
      </c>
      <c r="I49" s="3">
        <v>150</v>
      </c>
      <c r="J49" s="4">
        <v>10</v>
      </c>
      <c r="K49" s="3">
        <f>Table1[[#This Row],[Quantity]]*Table1[[#This Row],[Unit_Price]]</f>
        <v>2250</v>
      </c>
      <c r="L49" s="3">
        <v>1462.5</v>
      </c>
      <c r="M49" s="3">
        <f>Table1[[#This Row],[Final Sales]]-Table1[[#This Row],[Cost]]</f>
        <v>562.5</v>
      </c>
      <c r="N49" s="3">
        <f>Table1[[#This Row],[Revenue]]*(Table1[[#This Row],[Discount_%]]/100)</f>
        <v>225</v>
      </c>
      <c r="O49" s="3">
        <f>Table1[[#This Row],[Revenue]]-Table1[[#This Row],[Discount Amount]]</f>
        <v>2025</v>
      </c>
      <c r="P49" s="1">
        <f>Table1[[#This Row],[Profit]]/Table1[[#This Row],[Final Sales]]</f>
        <v>0.27777777777777779</v>
      </c>
    </row>
    <row r="50" spans="1:16">
      <c r="A50">
        <v>49</v>
      </c>
      <c r="B50" s="2" t="s">
        <v>78</v>
      </c>
      <c r="C50" s="2" t="str">
        <f>TEXT(Table1[[#This Row],[Order_Date]],"mmm")</f>
        <v>Mar</v>
      </c>
      <c r="D50" t="s">
        <v>17</v>
      </c>
      <c r="E50" t="s">
        <v>23</v>
      </c>
      <c r="F50" t="s">
        <v>24</v>
      </c>
      <c r="G50" t="s">
        <v>35</v>
      </c>
      <c r="H50">
        <v>13</v>
      </c>
      <c r="I50" s="3">
        <v>5000</v>
      </c>
      <c r="J50" s="4">
        <v>5</v>
      </c>
      <c r="K50" s="3">
        <f>Table1[[#This Row],[Quantity]]*Table1[[#This Row],[Unit_Price]]</f>
        <v>65000</v>
      </c>
      <c r="L50" s="3">
        <v>42250</v>
      </c>
      <c r="M50" s="3">
        <f>Table1[[#This Row],[Final Sales]]-Table1[[#This Row],[Cost]]</f>
        <v>19500</v>
      </c>
      <c r="N50" s="3">
        <f>Table1[[#This Row],[Revenue]]*(Table1[[#This Row],[Discount_%]]/100)</f>
        <v>3250</v>
      </c>
      <c r="O50" s="3">
        <f>Table1[[#This Row],[Revenue]]-Table1[[#This Row],[Discount Amount]]</f>
        <v>61750</v>
      </c>
      <c r="P50" s="1">
        <f>Table1[[#This Row],[Profit]]/Table1[[#This Row],[Final Sales]]</f>
        <v>0.31578947368421051</v>
      </c>
    </row>
    <row r="51" spans="1:16">
      <c r="A51">
        <v>50</v>
      </c>
      <c r="B51" s="2" t="s">
        <v>59</v>
      </c>
      <c r="C51" s="2" t="str">
        <f>TEXT(Table1[[#This Row],[Order_Date]],"mmm")</f>
        <v>Jun</v>
      </c>
      <c r="D51" t="s">
        <v>17</v>
      </c>
      <c r="E51" t="s">
        <v>34</v>
      </c>
      <c r="F51" t="s">
        <v>31</v>
      </c>
      <c r="G51" t="s">
        <v>32</v>
      </c>
      <c r="H51">
        <v>3</v>
      </c>
      <c r="I51" s="3">
        <v>2500</v>
      </c>
      <c r="J51" s="4">
        <v>15</v>
      </c>
      <c r="K51" s="3">
        <f>Table1[[#This Row],[Quantity]]*Table1[[#This Row],[Unit_Price]]</f>
        <v>7500</v>
      </c>
      <c r="L51" s="3">
        <v>4875</v>
      </c>
      <c r="M51" s="3">
        <f>Table1[[#This Row],[Final Sales]]-Table1[[#This Row],[Cost]]</f>
        <v>1500</v>
      </c>
      <c r="N51" s="3">
        <f>Table1[[#This Row],[Revenue]]*(Table1[[#This Row],[Discount_%]]/100)</f>
        <v>1125</v>
      </c>
      <c r="O51" s="3">
        <f>Table1[[#This Row],[Revenue]]-Table1[[#This Row],[Discount Amount]]</f>
        <v>6375</v>
      </c>
      <c r="P51" s="1">
        <f>Table1[[#This Row],[Profit]]/Table1[[#This Row],[Final Sales]]</f>
        <v>0.23529411764705882</v>
      </c>
    </row>
    <row r="52" spans="1:16">
      <c r="A52">
        <v>51</v>
      </c>
      <c r="B52" s="2" t="s">
        <v>26</v>
      </c>
      <c r="C52" s="2" t="str">
        <f>TEXT(Table1[[#This Row],[Order_Date]],"mmm")</f>
        <v>Feb</v>
      </c>
      <c r="D52" t="s">
        <v>17</v>
      </c>
      <c r="E52" t="s">
        <v>37</v>
      </c>
      <c r="F52" t="s">
        <v>24</v>
      </c>
      <c r="G52" t="s">
        <v>25</v>
      </c>
      <c r="H52">
        <v>7</v>
      </c>
      <c r="I52" s="3">
        <v>150</v>
      </c>
      <c r="J52" s="4">
        <v>15</v>
      </c>
      <c r="K52" s="3">
        <f>Table1[[#This Row],[Quantity]]*Table1[[#This Row],[Unit_Price]]</f>
        <v>1050</v>
      </c>
      <c r="L52" s="3">
        <v>682.5</v>
      </c>
      <c r="M52" s="3">
        <f>Table1[[#This Row],[Final Sales]]-Table1[[#This Row],[Cost]]</f>
        <v>210</v>
      </c>
      <c r="N52" s="3">
        <f>Table1[[#This Row],[Revenue]]*(Table1[[#This Row],[Discount_%]]/100)</f>
        <v>157.5</v>
      </c>
      <c r="O52" s="3">
        <f>Table1[[#This Row],[Revenue]]-Table1[[#This Row],[Discount Amount]]</f>
        <v>892.5</v>
      </c>
      <c r="P52" s="1">
        <f>Table1[[#This Row],[Profit]]/Table1[[#This Row],[Final Sales]]</f>
        <v>0.23529411764705882</v>
      </c>
    </row>
    <row r="53" spans="1:16">
      <c r="A53">
        <v>52</v>
      </c>
      <c r="B53" s="2" t="s">
        <v>79</v>
      </c>
      <c r="C53" s="2" t="str">
        <f>TEXT(Table1[[#This Row],[Order_Date]],"mmm")</f>
        <v>Jan</v>
      </c>
      <c r="D53" t="s">
        <v>17</v>
      </c>
      <c r="E53" t="s">
        <v>37</v>
      </c>
      <c r="F53" t="s">
        <v>31</v>
      </c>
      <c r="G53" t="s">
        <v>46</v>
      </c>
      <c r="H53">
        <v>14</v>
      </c>
      <c r="I53" s="3">
        <v>800</v>
      </c>
      <c r="J53" s="4">
        <v>5</v>
      </c>
      <c r="K53" s="3">
        <f>Table1[[#This Row],[Quantity]]*Table1[[#This Row],[Unit_Price]]</f>
        <v>11200</v>
      </c>
      <c r="L53" s="3">
        <v>7280</v>
      </c>
      <c r="M53" s="3">
        <f>Table1[[#This Row],[Final Sales]]-Table1[[#This Row],[Cost]]</f>
        <v>3360</v>
      </c>
      <c r="N53" s="3">
        <f>Table1[[#This Row],[Revenue]]*(Table1[[#This Row],[Discount_%]]/100)</f>
        <v>560</v>
      </c>
      <c r="O53" s="3">
        <f>Table1[[#This Row],[Revenue]]-Table1[[#This Row],[Discount Amount]]</f>
        <v>10640</v>
      </c>
      <c r="P53" s="1">
        <f>Table1[[#This Row],[Profit]]/Table1[[#This Row],[Final Sales]]</f>
        <v>0.31578947368421051</v>
      </c>
    </row>
    <row r="54" spans="1:16">
      <c r="A54">
        <v>53</v>
      </c>
      <c r="B54" s="2" t="s">
        <v>80</v>
      </c>
      <c r="C54" s="2" t="str">
        <f>TEXT(Table1[[#This Row],[Order_Date]],"mmm")</f>
        <v>Mar</v>
      </c>
      <c r="D54" t="s">
        <v>27</v>
      </c>
      <c r="E54" t="s">
        <v>18</v>
      </c>
      <c r="F54" t="s">
        <v>31</v>
      </c>
      <c r="G54" t="s">
        <v>46</v>
      </c>
      <c r="H54">
        <v>14</v>
      </c>
      <c r="I54" s="3">
        <v>250</v>
      </c>
      <c r="J54" s="4">
        <v>10</v>
      </c>
      <c r="K54" s="3">
        <f>Table1[[#This Row],[Quantity]]*Table1[[#This Row],[Unit_Price]]</f>
        <v>3500</v>
      </c>
      <c r="L54" s="3">
        <v>2275</v>
      </c>
      <c r="M54" s="3">
        <f>Table1[[#This Row],[Final Sales]]-Table1[[#This Row],[Cost]]</f>
        <v>875</v>
      </c>
      <c r="N54" s="3">
        <f>Table1[[#This Row],[Revenue]]*(Table1[[#This Row],[Discount_%]]/100)</f>
        <v>350</v>
      </c>
      <c r="O54" s="3">
        <f>Table1[[#This Row],[Revenue]]-Table1[[#This Row],[Discount Amount]]</f>
        <v>3150</v>
      </c>
      <c r="P54" s="1">
        <f>Table1[[#This Row],[Profit]]/Table1[[#This Row],[Final Sales]]</f>
        <v>0.27777777777777779</v>
      </c>
    </row>
    <row r="55" spans="1:16">
      <c r="A55">
        <v>54</v>
      </c>
      <c r="B55" s="2" t="s">
        <v>81</v>
      </c>
      <c r="C55" s="2" t="str">
        <f>TEXT(Table1[[#This Row],[Order_Date]],"mmm")</f>
        <v>Feb</v>
      </c>
      <c r="D55" t="s">
        <v>30</v>
      </c>
      <c r="E55" t="s">
        <v>56</v>
      </c>
      <c r="F55" t="s">
        <v>19</v>
      </c>
      <c r="G55" t="s">
        <v>38</v>
      </c>
      <c r="H55">
        <v>1</v>
      </c>
      <c r="I55" s="3">
        <v>250</v>
      </c>
      <c r="J55" s="4">
        <v>10</v>
      </c>
      <c r="K55" s="3">
        <f>Table1[[#This Row],[Quantity]]*Table1[[#This Row],[Unit_Price]]</f>
        <v>250</v>
      </c>
      <c r="L55" s="3">
        <v>162.5</v>
      </c>
      <c r="M55" s="3">
        <f>Table1[[#This Row],[Final Sales]]-Table1[[#This Row],[Cost]]</f>
        <v>62.5</v>
      </c>
      <c r="N55" s="3">
        <f>Table1[[#This Row],[Revenue]]*(Table1[[#This Row],[Discount_%]]/100)</f>
        <v>25</v>
      </c>
      <c r="O55" s="3">
        <f>Table1[[#This Row],[Revenue]]-Table1[[#This Row],[Discount Amount]]</f>
        <v>225</v>
      </c>
      <c r="P55" s="1">
        <f>Table1[[#This Row],[Profit]]/Table1[[#This Row],[Final Sales]]</f>
        <v>0.27777777777777779</v>
      </c>
    </row>
    <row r="56" spans="1:16">
      <c r="A56">
        <v>55</v>
      </c>
      <c r="B56" s="2" t="s">
        <v>82</v>
      </c>
      <c r="C56" s="2" t="str">
        <f>TEXT(Table1[[#This Row],[Order_Date]],"mmm")</f>
        <v>Jun</v>
      </c>
      <c r="D56" t="s">
        <v>22</v>
      </c>
      <c r="E56" t="s">
        <v>37</v>
      </c>
      <c r="F56" t="s">
        <v>24</v>
      </c>
      <c r="G56" t="s">
        <v>53</v>
      </c>
      <c r="H56">
        <v>6</v>
      </c>
      <c r="I56" s="3">
        <v>2500</v>
      </c>
      <c r="J56" s="4">
        <v>15</v>
      </c>
      <c r="K56" s="3">
        <f>Table1[[#This Row],[Quantity]]*Table1[[#This Row],[Unit_Price]]</f>
        <v>15000</v>
      </c>
      <c r="L56" s="3">
        <v>9750</v>
      </c>
      <c r="M56" s="3">
        <f>Table1[[#This Row],[Final Sales]]-Table1[[#This Row],[Cost]]</f>
        <v>3000</v>
      </c>
      <c r="N56" s="3">
        <f>Table1[[#This Row],[Revenue]]*(Table1[[#This Row],[Discount_%]]/100)</f>
        <v>2250</v>
      </c>
      <c r="O56" s="3">
        <f>Table1[[#This Row],[Revenue]]-Table1[[#This Row],[Discount Amount]]</f>
        <v>12750</v>
      </c>
      <c r="P56" s="1">
        <f>Table1[[#This Row],[Profit]]/Table1[[#This Row],[Final Sales]]</f>
        <v>0.23529411764705882</v>
      </c>
    </row>
    <row r="57" spans="1:16">
      <c r="A57">
        <v>56</v>
      </c>
      <c r="B57" s="2" t="s">
        <v>83</v>
      </c>
      <c r="C57" s="2" t="str">
        <f>TEXT(Table1[[#This Row],[Order_Date]],"mmm")</f>
        <v>Jan</v>
      </c>
      <c r="D57" t="s">
        <v>17</v>
      </c>
      <c r="E57" t="s">
        <v>34</v>
      </c>
      <c r="F57" t="s">
        <v>19</v>
      </c>
      <c r="G57" t="s">
        <v>60</v>
      </c>
      <c r="H57">
        <v>5</v>
      </c>
      <c r="I57" s="3">
        <v>150</v>
      </c>
      <c r="J57" s="4">
        <v>15</v>
      </c>
      <c r="K57" s="3">
        <f>Table1[[#This Row],[Quantity]]*Table1[[#This Row],[Unit_Price]]</f>
        <v>750</v>
      </c>
      <c r="L57" s="3">
        <v>487.5</v>
      </c>
      <c r="M57" s="3">
        <f>Table1[[#This Row],[Final Sales]]-Table1[[#This Row],[Cost]]</f>
        <v>150</v>
      </c>
      <c r="N57" s="3">
        <f>Table1[[#This Row],[Revenue]]*(Table1[[#This Row],[Discount_%]]/100)</f>
        <v>112.5</v>
      </c>
      <c r="O57" s="3">
        <f>Table1[[#This Row],[Revenue]]-Table1[[#This Row],[Discount Amount]]</f>
        <v>637.5</v>
      </c>
      <c r="P57" s="1">
        <f>Table1[[#This Row],[Profit]]/Table1[[#This Row],[Final Sales]]</f>
        <v>0.23529411764705882</v>
      </c>
    </row>
    <row r="58" spans="1:16">
      <c r="A58">
        <v>57</v>
      </c>
      <c r="B58" s="2" t="s">
        <v>84</v>
      </c>
      <c r="C58" s="2" t="str">
        <f>TEXT(Table1[[#This Row],[Order_Date]],"mmm")</f>
        <v>Jun</v>
      </c>
      <c r="D58" t="s">
        <v>22</v>
      </c>
      <c r="E58" t="s">
        <v>18</v>
      </c>
      <c r="F58" t="s">
        <v>31</v>
      </c>
      <c r="G58" t="s">
        <v>32</v>
      </c>
      <c r="H58">
        <v>11</v>
      </c>
      <c r="I58" s="3">
        <v>2500</v>
      </c>
      <c r="J58" s="4">
        <v>10</v>
      </c>
      <c r="K58" s="3">
        <f>Table1[[#This Row],[Quantity]]*Table1[[#This Row],[Unit_Price]]</f>
        <v>27500</v>
      </c>
      <c r="L58" s="3">
        <v>17875</v>
      </c>
      <c r="M58" s="3">
        <f>Table1[[#This Row],[Final Sales]]-Table1[[#This Row],[Cost]]</f>
        <v>6875</v>
      </c>
      <c r="N58" s="3">
        <f>Table1[[#This Row],[Revenue]]*(Table1[[#This Row],[Discount_%]]/100)</f>
        <v>2750</v>
      </c>
      <c r="O58" s="3">
        <f>Table1[[#This Row],[Revenue]]-Table1[[#This Row],[Discount Amount]]</f>
        <v>24750</v>
      </c>
      <c r="P58" s="1">
        <f>Table1[[#This Row],[Profit]]/Table1[[#This Row],[Final Sales]]</f>
        <v>0.27777777777777779</v>
      </c>
    </row>
    <row r="59" spans="1:16">
      <c r="A59">
        <v>58</v>
      </c>
      <c r="B59" s="2" t="s">
        <v>66</v>
      </c>
      <c r="C59" s="2" t="str">
        <f>TEXT(Table1[[#This Row],[Order_Date]],"mmm")</f>
        <v>Apr</v>
      </c>
      <c r="D59" t="s">
        <v>30</v>
      </c>
      <c r="E59" t="s">
        <v>28</v>
      </c>
      <c r="F59" t="s">
        <v>31</v>
      </c>
      <c r="G59" t="s">
        <v>46</v>
      </c>
      <c r="H59">
        <v>11</v>
      </c>
      <c r="I59" s="3">
        <v>5000</v>
      </c>
      <c r="J59" s="4">
        <v>10</v>
      </c>
      <c r="K59" s="3">
        <f>Table1[[#This Row],[Quantity]]*Table1[[#This Row],[Unit_Price]]</f>
        <v>55000</v>
      </c>
      <c r="L59" s="3">
        <v>35750</v>
      </c>
      <c r="M59" s="3">
        <f>Table1[[#This Row],[Final Sales]]-Table1[[#This Row],[Cost]]</f>
        <v>13750</v>
      </c>
      <c r="N59" s="3">
        <f>Table1[[#This Row],[Revenue]]*(Table1[[#This Row],[Discount_%]]/100)</f>
        <v>5500</v>
      </c>
      <c r="O59" s="3">
        <f>Table1[[#This Row],[Revenue]]-Table1[[#This Row],[Discount Amount]]</f>
        <v>49500</v>
      </c>
      <c r="P59" s="1">
        <f>Table1[[#This Row],[Profit]]/Table1[[#This Row],[Final Sales]]</f>
        <v>0.27777777777777779</v>
      </c>
    </row>
    <row r="60" spans="1:16">
      <c r="A60">
        <v>59</v>
      </c>
      <c r="B60" s="2" t="s">
        <v>85</v>
      </c>
      <c r="C60" s="2" t="str">
        <f>TEXT(Table1[[#This Row],[Order_Date]],"mmm")</f>
        <v>Jun</v>
      </c>
      <c r="D60" t="s">
        <v>30</v>
      </c>
      <c r="E60" t="s">
        <v>37</v>
      </c>
      <c r="F60" t="s">
        <v>24</v>
      </c>
      <c r="G60" t="s">
        <v>67</v>
      </c>
      <c r="H60">
        <v>7</v>
      </c>
      <c r="I60" s="3">
        <v>5000</v>
      </c>
      <c r="J60" s="4">
        <v>5</v>
      </c>
      <c r="K60" s="3">
        <f>Table1[[#This Row],[Quantity]]*Table1[[#This Row],[Unit_Price]]</f>
        <v>35000</v>
      </c>
      <c r="L60" s="3">
        <v>22750</v>
      </c>
      <c r="M60" s="3">
        <f>Table1[[#This Row],[Final Sales]]-Table1[[#This Row],[Cost]]</f>
        <v>10500</v>
      </c>
      <c r="N60" s="3">
        <f>Table1[[#This Row],[Revenue]]*(Table1[[#This Row],[Discount_%]]/100)</f>
        <v>1750</v>
      </c>
      <c r="O60" s="3">
        <f>Table1[[#This Row],[Revenue]]-Table1[[#This Row],[Discount Amount]]</f>
        <v>33250</v>
      </c>
      <c r="P60" s="1">
        <f>Table1[[#This Row],[Profit]]/Table1[[#This Row],[Final Sales]]</f>
        <v>0.31578947368421051</v>
      </c>
    </row>
    <row r="61" spans="1:16">
      <c r="A61">
        <v>60</v>
      </c>
      <c r="B61" s="2" t="s">
        <v>77</v>
      </c>
      <c r="C61" s="2" t="str">
        <f>TEXT(Table1[[#This Row],[Order_Date]],"mmm")</f>
        <v>Apr</v>
      </c>
      <c r="D61" t="s">
        <v>30</v>
      </c>
      <c r="E61" t="s">
        <v>37</v>
      </c>
      <c r="F61" t="s">
        <v>19</v>
      </c>
      <c r="G61" t="s">
        <v>20</v>
      </c>
      <c r="H61">
        <v>5</v>
      </c>
      <c r="I61" s="3">
        <v>1200</v>
      </c>
      <c r="J61" s="4">
        <v>5</v>
      </c>
      <c r="K61" s="3">
        <f>Table1[[#This Row],[Quantity]]*Table1[[#This Row],[Unit_Price]]</f>
        <v>6000</v>
      </c>
      <c r="L61" s="3">
        <v>3900</v>
      </c>
      <c r="M61" s="3">
        <f>Table1[[#This Row],[Final Sales]]-Table1[[#This Row],[Cost]]</f>
        <v>1800</v>
      </c>
      <c r="N61" s="3">
        <f>Table1[[#This Row],[Revenue]]*(Table1[[#This Row],[Discount_%]]/100)</f>
        <v>300</v>
      </c>
      <c r="O61" s="3">
        <f>Table1[[#This Row],[Revenue]]-Table1[[#This Row],[Discount Amount]]</f>
        <v>5700</v>
      </c>
      <c r="P61" s="1">
        <f>Table1[[#This Row],[Profit]]/Table1[[#This Row],[Final Sales]]</f>
        <v>0.31578947368421051</v>
      </c>
    </row>
    <row r="62" spans="1:16">
      <c r="A62">
        <v>61</v>
      </c>
      <c r="B62" s="2" t="s">
        <v>86</v>
      </c>
      <c r="C62" s="2" t="str">
        <f>TEXT(Table1[[#This Row],[Order_Date]],"mmm")</f>
        <v>Feb</v>
      </c>
      <c r="D62" t="s">
        <v>22</v>
      </c>
      <c r="E62" t="s">
        <v>34</v>
      </c>
      <c r="F62" t="s">
        <v>31</v>
      </c>
      <c r="G62" t="s">
        <v>57</v>
      </c>
      <c r="H62">
        <v>11</v>
      </c>
      <c r="I62" s="3">
        <v>800</v>
      </c>
      <c r="J62" s="4">
        <v>15</v>
      </c>
      <c r="K62" s="3">
        <f>Table1[[#This Row],[Quantity]]*Table1[[#This Row],[Unit_Price]]</f>
        <v>8800</v>
      </c>
      <c r="L62" s="3">
        <v>5720</v>
      </c>
      <c r="M62" s="3">
        <f>Table1[[#This Row],[Final Sales]]-Table1[[#This Row],[Cost]]</f>
        <v>1760</v>
      </c>
      <c r="N62" s="3">
        <f>Table1[[#This Row],[Revenue]]*(Table1[[#This Row],[Discount_%]]/100)</f>
        <v>1320</v>
      </c>
      <c r="O62" s="3">
        <f>Table1[[#This Row],[Revenue]]-Table1[[#This Row],[Discount Amount]]</f>
        <v>7480</v>
      </c>
      <c r="P62" s="1">
        <f>Table1[[#This Row],[Profit]]/Table1[[#This Row],[Final Sales]]</f>
        <v>0.23529411764705882</v>
      </c>
    </row>
    <row r="63" spans="1:16">
      <c r="A63">
        <v>62</v>
      </c>
      <c r="B63" s="2" t="s">
        <v>16</v>
      </c>
      <c r="C63" s="2" t="str">
        <f>TEXT(Table1[[#This Row],[Order_Date]],"mmm")</f>
        <v>Feb</v>
      </c>
      <c r="D63" t="s">
        <v>17</v>
      </c>
      <c r="E63" t="s">
        <v>23</v>
      </c>
      <c r="F63" t="s">
        <v>19</v>
      </c>
      <c r="G63" t="s">
        <v>38</v>
      </c>
      <c r="H63">
        <v>2</v>
      </c>
      <c r="I63" s="3">
        <v>800</v>
      </c>
      <c r="J63" s="4">
        <v>10</v>
      </c>
      <c r="K63" s="3">
        <f>Table1[[#This Row],[Quantity]]*Table1[[#This Row],[Unit_Price]]</f>
        <v>1600</v>
      </c>
      <c r="L63" s="3">
        <v>1040</v>
      </c>
      <c r="M63" s="3">
        <f>Table1[[#This Row],[Final Sales]]-Table1[[#This Row],[Cost]]</f>
        <v>400</v>
      </c>
      <c r="N63" s="3">
        <f>Table1[[#This Row],[Revenue]]*(Table1[[#This Row],[Discount_%]]/100)</f>
        <v>160</v>
      </c>
      <c r="O63" s="3">
        <f>Table1[[#This Row],[Revenue]]-Table1[[#This Row],[Discount Amount]]</f>
        <v>1440</v>
      </c>
      <c r="P63" s="1">
        <f>Table1[[#This Row],[Profit]]/Table1[[#This Row],[Final Sales]]</f>
        <v>0.27777777777777779</v>
      </c>
    </row>
    <row r="64" spans="1:16">
      <c r="A64">
        <v>63</v>
      </c>
      <c r="B64" s="2" t="s">
        <v>87</v>
      </c>
      <c r="C64" s="2" t="str">
        <f>TEXT(Table1[[#This Row],[Order_Date]],"mmm")</f>
        <v>Apr</v>
      </c>
      <c r="D64" t="s">
        <v>27</v>
      </c>
      <c r="E64" t="s">
        <v>18</v>
      </c>
      <c r="F64" t="s">
        <v>24</v>
      </c>
      <c r="G64" t="s">
        <v>25</v>
      </c>
      <c r="H64">
        <v>4</v>
      </c>
      <c r="I64" s="3">
        <v>12000</v>
      </c>
      <c r="J64" s="4">
        <v>0</v>
      </c>
      <c r="K64" s="3">
        <f>Table1[[#This Row],[Quantity]]*Table1[[#This Row],[Unit_Price]]</f>
        <v>48000</v>
      </c>
      <c r="L64" s="3">
        <v>31200</v>
      </c>
      <c r="M64" s="3">
        <f>Table1[[#This Row],[Final Sales]]-Table1[[#This Row],[Cost]]</f>
        <v>16800</v>
      </c>
      <c r="N64" s="3">
        <f>Table1[[#This Row],[Revenue]]*(Table1[[#This Row],[Discount_%]]/100)</f>
        <v>0</v>
      </c>
      <c r="O64" s="3">
        <f>Table1[[#This Row],[Revenue]]-Table1[[#This Row],[Discount Amount]]</f>
        <v>48000</v>
      </c>
      <c r="P64" s="1">
        <f>Table1[[#This Row],[Profit]]/Table1[[#This Row],[Final Sales]]</f>
        <v>0.35</v>
      </c>
    </row>
    <row r="65" spans="1:16">
      <c r="A65">
        <v>64</v>
      </c>
      <c r="B65" s="2" t="s">
        <v>88</v>
      </c>
      <c r="C65" s="2" t="str">
        <f>TEXT(Table1[[#This Row],[Order_Date]],"mmm")</f>
        <v>Apr</v>
      </c>
      <c r="D65" t="s">
        <v>17</v>
      </c>
      <c r="E65" t="s">
        <v>23</v>
      </c>
      <c r="F65" t="s">
        <v>19</v>
      </c>
      <c r="G65" t="s">
        <v>60</v>
      </c>
      <c r="H65">
        <v>12</v>
      </c>
      <c r="I65" s="3">
        <v>5000</v>
      </c>
      <c r="J65" s="4">
        <v>15</v>
      </c>
      <c r="K65" s="3">
        <f>Table1[[#This Row],[Quantity]]*Table1[[#This Row],[Unit_Price]]</f>
        <v>60000</v>
      </c>
      <c r="L65" s="3">
        <v>39000</v>
      </c>
      <c r="M65" s="3">
        <f>Table1[[#This Row],[Final Sales]]-Table1[[#This Row],[Cost]]</f>
        <v>12000</v>
      </c>
      <c r="N65" s="3">
        <f>Table1[[#This Row],[Revenue]]*(Table1[[#This Row],[Discount_%]]/100)</f>
        <v>9000</v>
      </c>
      <c r="O65" s="3">
        <f>Table1[[#This Row],[Revenue]]-Table1[[#This Row],[Discount Amount]]</f>
        <v>51000</v>
      </c>
      <c r="P65" s="1">
        <f>Table1[[#This Row],[Profit]]/Table1[[#This Row],[Final Sales]]</f>
        <v>0.23529411764705882</v>
      </c>
    </row>
    <row r="66" spans="1:16">
      <c r="A66">
        <v>65</v>
      </c>
      <c r="B66" s="2" t="s">
        <v>26</v>
      </c>
      <c r="C66" s="2" t="str">
        <f>TEXT(Table1[[#This Row],[Order_Date]],"mmm")</f>
        <v>Feb</v>
      </c>
      <c r="D66" t="s">
        <v>17</v>
      </c>
      <c r="E66" t="s">
        <v>18</v>
      </c>
      <c r="F66" t="s">
        <v>19</v>
      </c>
      <c r="G66" t="s">
        <v>20</v>
      </c>
      <c r="H66">
        <v>15</v>
      </c>
      <c r="I66" s="3">
        <v>250</v>
      </c>
      <c r="J66" s="4">
        <v>15</v>
      </c>
      <c r="K66" s="3">
        <f>Table1[[#This Row],[Quantity]]*Table1[[#This Row],[Unit_Price]]</f>
        <v>3750</v>
      </c>
      <c r="L66" s="3">
        <v>2437.5</v>
      </c>
      <c r="M66" s="3">
        <f>Table1[[#This Row],[Final Sales]]-Table1[[#This Row],[Cost]]</f>
        <v>750</v>
      </c>
      <c r="N66" s="3">
        <f>Table1[[#This Row],[Revenue]]*(Table1[[#This Row],[Discount_%]]/100)</f>
        <v>562.5</v>
      </c>
      <c r="O66" s="3">
        <f>Table1[[#This Row],[Revenue]]-Table1[[#This Row],[Discount Amount]]</f>
        <v>3187.5</v>
      </c>
      <c r="P66" s="1">
        <f>Table1[[#This Row],[Profit]]/Table1[[#This Row],[Final Sales]]</f>
        <v>0.23529411764705882</v>
      </c>
    </row>
    <row r="67" spans="1:16">
      <c r="A67">
        <v>66</v>
      </c>
      <c r="B67" s="2" t="s">
        <v>87</v>
      </c>
      <c r="C67" s="2" t="str">
        <f>TEXT(Table1[[#This Row],[Order_Date]],"mmm")</f>
        <v>Apr</v>
      </c>
      <c r="D67" t="s">
        <v>17</v>
      </c>
      <c r="E67" t="s">
        <v>37</v>
      </c>
      <c r="F67" t="s">
        <v>19</v>
      </c>
      <c r="G67" t="s">
        <v>48</v>
      </c>
      <c r="H67">
        <v>1</v>
      </c>
      <c r="I67" s="3">
        <v>800</v>
      </c>
      <c r="J67" s="4">
        <v>0</v>
      </c>
      <c r="K67" s="3">
        <f>Table1[[#This Row],[Quantity]]*Table1[[#This Row],[Unit_Price]]</f>
        <v>800</v>
      </c>
      <c r="L67" s="3">
        <v>520</v>
      </c>
      <c r="M67" s="3">
        <f>Table1[[#This Row],[Final Sales]]-Table1[[#This Row],[Cost]]</f>
        <v>280</v>
      </c>
      <c r="N67" s="3">
        <f>Table1[[#This Row],[Revenue]]*(Table1[[#This Row],[Discount_%]]/100)</f>
        <v>0</v>
      </c>
      <c r="O67" s="3">
        <f>Table1[[#This Row],[Revenue]]-Table1[[#This Row],[Discount Amount]]</f>
        <v>800</v>
      </c>
      <c r="P67" s="1">
        <f>Table1[[#This Row],[Profit]]/Table1[[#This Row],[Final Sales]]</f>
        <v>0.35</v>
      </c>
    </row>
    <row r="68" spans="1:16">
      <c r="A68">
        <v>67</v>
      </c>
      <c r="B68" s="2" t="s">
        <v>68</v>
      </c>
      <c r="C68" s="2" t="str">
        <f>TEXT(Table1[[#This Row],[Order_Date]],"mmm")</f>
        <v>May</v>
      </c>
      <c r="D68" t="s">
        <v>27</v>
      </c>
      <c r="E68" t="s">
        <v>23</v>
      </c>
      <c r="F68" t="s">
        <v>19</v>
      </c>
      <c r="G68" t="s">
        <v>38</v>
      </c>
      <c r="H68">
        <v>13</v>
      </c>
      <c r="I68" s="3">
        <v>12000</v>
      </c>
      <c r="J68" s="4">
        <v>15</v>
      </c>
      <c r="K68" s="3">
        <f>Table1[[#This Row],[Quantity]]*Table1[[#This Row],[Unit_Price]]</f>
        <v>156000</v>
      </c>
      <c r="L68" s="3">
        <v>101400</v>
      </c>
      <c r="M68" s="3">
        <f>Table1[[#This Row],[Final Sales]]-Table1[[#This Row],[Cost]]</f>
        <v>31200</v>
      </c>
      <c r="N68" s="3">
        <f>Table1[[#This Row],[Revenue]]*(Table1[[#This Row],[Discount_%]]/100)</f>
        <v>23400</v>
      </c>
      <c r="O68" s="3">
        <f>Table1[[#This Row],[Revenue]]-Table1[[#This Row],[Discount Amount]]</f>
        <v>132600</v>
      </c>
      <c r="P68" s="1">
        <f>Table1[[#This Row],[Profit]]/Table1[[#This Row],[Final Sales]]</f>
        <v>0.23529411764705882</v>
      </c>
    </row>
    <row r="69" spans="1:16">
      <c r="A69">
        <v>68</v>
      </c>
      <c r="B69" s="2" t="s">
        <v>89</v>
      </c>
      <c r="C69" s="2" t="str">
        <f>TEXT(Table1[[#This Row],[Order_Date]],"mmm")</f>
        <v>Jun</v>
      </c>
      <c r="D69" t="s">
        <v>30</v>
      </c>
      <c r="E69" t="s">
        <v>28</v>
      </c>
      <c r="F69" t="s">
        <v>19</v>
      </c>
      <c r="G69" t="s">
        <v>48</v>
      </c>
      <c r="H69">
        <v>8</v>
      </c>
      <c r="I69" s="3">
        <v>1200</v>
      </c>
      <c r="J69" s="4">
        <v>5</v>
      </c>
      <c r="K69" s="3">
        <f>Table1[[#This Row],[Quantity]]*Table1[[#This Row],[Unit_Price]]</f>
        <v>9600</v>
      </c>
      <c r="L69" s="3">
        <v>6240</v>
      </c>
      <c r="M69" s="3">
        <f>Table1[[#This Row],[Final Sales]]-Table1[[#This Row],[Cost]]</f>
        <v>2880</v>
      </c>
      <c r="N69" s="3">
        <f>Table1[[#This Row],[Revenue]]*(Table1[[#This Row],[Discount_%]]/100)</f>
        <v>480</v>
      </c>
      <c r="O69" s="3">
        <f>Table1[[#This Row],[Revenue]]-Table1[[#This Row],[Discount Amount]]</f>
        <v>9120</v>
      </c>
      <c r="P69" s="1">
        <f>Table1[[#This Row],[Profit]]/Table1[[#This Row],[Final Sales]]</f>
        <v>0.31578947368421051</v>
      </c>
    </row>
    <row r="70" spans="1:16">
      <c r="A70">
        <v>69</v>
      </c>
      <c r="B70" s="2" t="s">
        <v>90</v>
      </c>
      <c r="C70" s="2" t="str">
        <f>TEXT(Table1[[#This Row],[Order_Date]],"mmm")</f>
        <v>Mar</v>
      </c>
      <c r="D70" t="s">
        <v>17</v>
      </c>
      <c r="E70" t="s">
        <v>34</v>
      </c>
      <c r="F70" t="s">
        <v>31</v>
      </c>
      <c r="G70" t="s">
        <v>44</v>
      </c>
      <c r="H70">
        <v>5</v>
      </c>
      <c r="I70" s="3">
        <v>12000</v>
      </c>
      <c r="J70" s="4">
        <v>0</v>
      </c>
      <c r="K70" s="3">
        <f>Table1[[#This Row],[Quantity]]*Table1[[#This Row],[Unit_Price]]</f>
        <v>60000</v>
      </c>
      <c r="L70" s="3">
        <v>39000</v>
      </c>
      <c r="M70" s="3">
        <f>Table1[[#This Row],[Final Sales]]-Table1[[#This Row],[Cost]]</f>
        <v>21000</v>
      </c>
      <c r="N70" s="3">
        <f>Table1[[#This Row],[Revenue]]*(Table1[[#This Row],[Discount_%]]/100)</f>
        <v>0</v>
      </c>
      <c r="O70" s="3">
        <f>Table1[[#This Row],[Revenue]]-Table1[[#This Row],[Discount Amount]]</f>
        <v>60000</v>
      </c>
      <c r="P70" s="1">
        <f>Table1[[#This Row],[Profit]]/Table1[[#This Row],[Final Sales]]</f>
        <v>0.35</v>
      </c>
    </row>
    <row r="71" spans="1:16">
      <c r="A71">
        <v>70</v>
      </c>
      <c r="B71" s="2" t="s">
        <v>91</v>
      </c>
      <c r="C71" s="2" t="str">
        <f>TEXT(Table1[[#This Row],[Order_Date]],"mmm")</f>
        <v>Feb</v>
      </c>
      <c r="D71" t="s">
        <v>17</v>
      </c>
      <c r="E71" t="s">
        <v>37</v>
      </c>
      <c r="F71" t="s">
        <v>31</v>
      </c>
      <c r="G71" t="s">
        <v>46</v>
      </c>
      <c r="H71">
        <v>15</v>
      </c>
      <c r="I71" s="3">
        <v>250</v>
      </c>
      <c r="J71" s="4">
        <v>5</v>
      </c>
      <c r="K71" s="3">
        <f>Table1[[#This Row],[Quantity]]*Table1[[#This Row],[Unit_Price]]</f>
        <v>3750</v>
      </c>
      <c r="L71" s="3">
        <v>2437.5</v>
      </c>
      <c r="M71" s="3">
        <f>Table1[[#This Row],[Final Sales]]-Table1[[#This Row],[Cost]]</f>
        <v>1125</v>
      </c>
      <c r="N71" s="3">
        <f>Table1[[#This Row],[Revenue]]*(Table1[[#This Row],[Discount_%]]/100)</f>
        <v>187.5</v>
      </c>
      <c r="O71" s="3">
        <f>Table1[[#This Row],[Revenue]]-Table1[[#This Row],[Discount Amount]]</f>
        <v>3562.5</v>
      </c>
      <c r="P71" s="1">
        <f>Table1[[#This Row],[Profit]]/Table1[[#This Row],[Final Sales]]</f>
        <v>0.31578947368421051</v>
      </c>
    </row>
    <row r="72" spans="1:16">
      <c r="A72">
        <v>71</v>
      </c>
      <c r="B72" s="2" t="s">
        <v>92</v>
      </c>
      <c r="C72" s="2" t="str">
        <f>TEXT(Table1[[#This Row],[Order_Date]],"mmm")</f>
        <v>Apr</v>
      </c>
      <c r="D72" t="s">
        <v>27</v>
      </c>
      <c r="E72" t="s">
        <v>34</v>
      </c>
      <c r="F72" t="s">
        <v>19</v>
      </c>
      <c r="G72" t="s">
        <v>60</v>
      </c>
      <c r="H72">
        <v>12</v>
      </c>
      <c r="I72" s="3">
        <v>800</v>
      </c>
      <c r="J72" s="4">
        <v>0</v>
      </c>
      <c r="K72" s="3">
        <f>Table1[[#This Row],[Quantity]]*Table1[[#This Row],[Unit_Price]]</f>
        <v>9600</v>
      </c>
      <c r="L72" s="3">
        <v>6240</v>
      </c>
      <c r="M72" s="3">
        <f>Table1[[#This Row],[Final Sales]]-Table1[[#This Row],[Cost]]</f>
        <v>3360</v>
      </c>
      <c r="N72" s="3">
        <f>Table1[[#This Row],[Revenue]]*(Table1[[#This Row],[Discount_%]]/100)</f>
        <v>0</v>
      </c>
      <c r="O72" s="3">
        <f>Table1[[#This Row],[Revenue]]-Table1[[#This Row],[Discount Amount]]</f>
        <v>9600</v>
      </c>
      <c r="P72" s="1">
        <f>Table1[[#This Row],[Profit]]/Table1[[#This Row],[Final Sales]]</f>
        <v>0.35</v>
      </c>
    </row>
    <row r="73" spans="1:16">
      <c r="A73">
        <v>72</v>
      </c>
      <c r="B73" s="2" t="s">
        <v>93</v>
      </c>
      <c r="C73" s="2" t="str">
        <f>TEXT(Table1[[#This Row],[Order_Date]],"mmm")</f>
        <v>Apr</v>
      </c>
      <c r="D73" t="s">
        <v>27</v>
      </c>
      <c r="E73" t="s">
        <v>28</v>
      </c>
      <c r="F73" t="s">
        <v>19</v>
      </c>
      <c r="G73" t="s">
        <v>48</v>
      </c>
      <c r="H73">
        <v>7</v>
      </c>
      <c r="I73" s="3">
        <v>150</v>
      </c>
      <c r="J73" s="4">
        <v>5</v>
      </c>
      <c r="K73" s="3">
        <f>Table1[[#This Row],[Quantity]]*Table1[[#This Row],[Unit_Price]]</f>
        <v>1050</v>
      </c>
      <c r="L73" s="3">
        <v>682.5</v>
      </c>
      <c r="M73" s="3">
        <f>Table1[[#This Row],[Final Sales]]-Table1[[#This Row],[Cost]]</f>
        <v>315</v>
      </c>
      <c r="N73" s="3">
        <f>Table1[[#This Row],[Revenue]]*(Table1[[#This Row],[Discount_%]]/100)</f>
        <v>52.5</v>
      </c>
      <c r="O73" s="3">
        <f>Table1[[#This Row],[Revenue]]-Table1[[#This Row],[Discount Amount]]</f>
        <v>997.5</v>
      </c>
      <c r="P73" s="1">
        <f>Table1[[#This Row],[Profit]]/Table1[[#This Row],[Final Sales]]</f>
        <v>0.31578947368421051</v>
      </c>
    </row>
    <row r="74" spans="1:16">
      <c r="A74">
        <v>73</v>
      </c>
      <c r="B74" s="2" t="s">
        <v>94</v>
      </c>
      <c r="C74" s="2" t="str">
        <f>TEXT(Table1[[#This Row],[Order_Date]],"mmm")</f>
        <v>Jan</v>
      </c>
      <c r="D74" t="s">
        <v>30</v>
      </c>
      <c r="E74" t="s">
        <v>34</v>
      </c>
      <c r="F74" t="s">
        <v>19</v>
      </c>
      <c r="G74" t="s">
        <v>20</v>
      </c>
      <c r="H74">
        <v>14</v>
      </c>
      <c r="I74" s="3">
        <v>5000</v>
      </c>
      <c r="J74" s="4">
        <v>15</v>
      </c>
      <c r="K74" s="3">
        <f>Table1[[#This Row],[Quantity]]*Table1[[#This Row],[Unit_Price]]</f>
        <v>70000</v>
      </c>
      <c r="L74" s="3">
        <v>45500</v>
      </c>
      <c r="M74" s="3">
        <f>Table1[[#This Row],[Final Sales]]-Table1[[#This Row],[Cost]]</f>
        <v>14000</v>
      </c>
      <c r="N74" s="3">
        <f>Table1[[#This Row],[Revenue]]*(Table1[[#This Row],[Discount_%]]/100)</f>
        <v>10500</v>
      </c>
      <c r="O74" s="3">
        <f>Table1[[#This Row],[Revenue]]-Table1[[#This Row],[Discount Amount]]</f>
        <v>59500</v>
      </c>
      <c r="P74" s="1">
        <f>Table1[[#This Row],[Profit]]/Table1[[#This Row],[Final Sales]]</f>
        <v>0.23529411764705882</v>
      </c>
    </row>
    <row r="75" spans="1:16">
      <c r="A75">
        <v>74</v>
      </c>
      <c r="B75" s="2" t="s">
        <v>26</v>
      </c>
      <c r="C75" s="2" t="str">
        <f>TEXT(Table1[[#This Row],[Order_Date]],"mmm")</f>
        <v>Feb</v>
      </c>
      <c r="D75" t="s">
        <v>30</v>
      </c>
      <c r="E75" t="s">
        <v>37</v>
      </c>
      <c r="F75" t="s">
        <v>31</v>
      </c>
      <c r="G75" t="s">
        <v>57</v>
      </c>
      <c r="H75">
        <v>9</v>
      </c>
      <c r="I75" s="3">
        <v>800</v>
      </c>
      <c r="J75" s="4">
        <v>15</v>
      </c>
      <c r="K75" s="3">
        <f>Table1[[#This Row],[Quantity]]*Table1[[#This Row],[Unit_Price]]</f>
        <v>7200</v>
      </c>
      <c r="L75" s="3">
        <v>4680</v>
      </c>
      <c r="M75" s="3">
        <f>Table1[[#This Row],[Final Sales]]-Table1[[#This Row],[Cost]]</f>
        <v>1440</v>
      </c>
      <c r="N75" s="3">
        <f>Table1[[#This Row],[Revenue]]*(Table1[[#This Row],[Discount_%]]/100)</f>
        <v>1080</v>
      </c>
      <c r="O75" s="3">
        <f>Table1[[#This Row],[Revenue]]-Table1[[#This Row],[Discount Amount]]</f>
        <v>6120</v>
      </c>
      <c r="P75" s="1">
        <f>Table1[[#This Row],[Profit]]/Table1[[#This Row],[Final Sales]]</f>
        <v>0.23529411764705882</v>
      </c>
    </row>
    <row r="76" spans="1:16">
      <c r="A76">
        <v>75</v>
      </c>
      <c r="B76" s="2" t="s">
        <v>95</v>
      </c>
      <c r="C76" s="2" t="str">
        <f>TEXT(Table1[[#This Row],[Order_Date]],"mmm")</f>
        <v>Feb</v>
      </c>
      <c r="D76" t="s">
        <v>27</v>
      </c>
      <c r="E76" t="s">
        <v>23</v>
      </c>
      <c r="F76" t="s">
        <v>31</v>
      </c>
      <c r="G76" t="s">
        <v>32</v>
      </c>
      <c r="H76">
        <v>7</v>
      </c>
      <c r="I76" s="3">
        <v>2500</v>
      </c>
      <c r="J76" s="4">
        <v>15</v>
      </c>
      <c r="K76" s="3">
        <f>Table1[[#This Row],[Quantity]]*Table1[[#This Row],[Unit_Price]]</f>
        <v>17500</v>
      </c>
      <c r="L76" s="3">
        <v>11375</v>
      </c>
      <c r="M76" s="3">
        <f>Table1[[#This Row],[Final Sales]]-Table1[[#This Row],[Cost]]</f>
        <v>3500</v>
      </c>
      <c r="N76" s="3">
        <f>Table1[[#This Row],[Revenue]]*(Table1[[#This Row],[Discount_%]]/100)</f>
        <v>2625</v>
      </c>
      <c r="O76" s="3">
        <f>Table1[[#This Row],[Revenue]]-Table1[[#This Row],[Discount Amount]]</f>
        <v>14875</v>
      </c>
      <c r="P76" s="1">
        <f>Table1[[#This Row],[Profit]]/Table1[[#This Row],[Final Sales]]</f>
        <v>0.23529411764705882</v>
      </c>
    </row>
    <row r="77" spans="1:16">
      <c r="A77">
        <v>76</v>
      </c>
      <c r="B77" s="2" t="s">
        <v>96</v>
      </c>
      <c r="C77" s="2" t="str">
        <f>TEXT(Table1[[#This Row],[Order_Date]],"mmm")</f>
        <v>Jan</v>
      </c>
      <c r="D77" t="s">
        <v>27</v>
      </c>
      <c r="E77" t="s">
        <v>23</v>
      </c>
      <c r="F77" t="s">
        <v>19</v>
      </c>
      <c r="G77" t="s">
        <v>20</v>
      </c>
      <c r="H77">
        <v>15</v>
      </c>
      <c r="I77" s="3">
        <v>5000</v>
      </c>
      <c r="J77" s="4">
        <v>0</v>
      </c>
      <c r="K77" s="3">
        <f>Table1[[#This Row],[Quantity]]*Table1[[#This Row],[Unit_Price]]</f>
        <v>75000</v>
      </c>
      <c r="L77" s="3">
        <v>48750</v>
      </c>
      <c r="M77" s="3">
        <f>Table1[[#This Row],[Final Sales]]-Table1[[#This Row],[Cost]]</f>
        <v>26250</v>
      </c>
      <c r="N77" s="3">
        <f>Table1[[#This Row],[Revenue]]*(Table1[[#This Row],[Discount_%]]/100)</f>
        <v>0</v>
      </c>
      <c r="O77" s="3">
        <f>Table1[[#This Row],[Revenue]]-Table1[[#This Row],[Discount Amount]]</f>
        <v>75000</v>
      </c>
      <c r="P77" s="1">
        <f>Table1[[#This Row],[Profit]]/Table1[[#This Row],[Final Sales]]</f>
        <v>0.35</v>
      </c>
    </row>
    <row r="78" spans="1:16">
      <c r="A78">
        <v>77</v>
      </c>
      <c r="B78" s="2" t="s">
        <v>97</v>
      </c>
      <c r="C78" s="2" t="str">
        <f>TEXT(Table1[[#This Row],[Order_Date]],"mmm")</f>
        <v>Mar</v>
      </c>
      <c r="D78" t="s">
        <v>17</v>
      </c>
      <c r="E78" t="s">
        <v>37</v>
      </c>
      <c r="F78" t="s">
        <v>31</v>
      </c>
      <c r="G78" t="s">
        <v>44</v>
      </c>
      <c r="H78">
        <v>1</v>
      </c>
      <c r="I78" s="3">
        <v>1200</v>
      </c>
      <c r="J78" s="4">
        <v>15</v>
      </c>
      <c r="K78" s="3">
        <f>Table1[[#This Row],[Quantity]]*Table1[[#This Row],[Unit_Price]]</f>
        <v>1200</v>
      </c>
      <c r="L78" s="3">
        <v>780</v>
      </c>
      <c r="M78" s="3">
        <f>Table1[[#This Row],[Final Sales]]-Table1[[#This Row],[Cost]]</f>
        <v>240</v>
      </c>
      <c r="N78" s="3">
        <f>Table1[[#This Row],[Revenue]]*(Table1[[#This Row],[Discount_%]]/100)</f>
        <v>180</v>
      </c>
      <c r="O78" s="3">
        <f>Table1[[#This Row],[Revenue]]-Table1[[#This Row],[Discount Amount]]</f>
        <v>1020</v>
      </c>
      <c r="P78" s="1">
        <f>Table1[[#This Row],[Profit]]/Table1[[#This Row],[Final Sales]]</f>
        <v>0.23529411764705882</v>
      </c>
    </row>
    <row r="79" spans="1:16">
      <c r="A79">
        <v>78</v>
      </c>
      <c r="B79" s="2" t="s">
        <v>93</v>
      </c>
      <c r="C79" s="2" t="str">
        <f>TEXT(Table1[[#This Row],[Order_Date]],"mmm")</f>
        <v>Apr</v>
      </c>
      <c r="D79" t="s">
        <v>30</v>
      </c>
      <c r="E79" t="s">
        <v>56</v>
      </c>
      <c r="F79" t="s">
        <v>31</v>
      </c>
      <c r="G79" t="s">
        <v>46</v>
      </c>
      <c r="H79">
        <v>13</v>
      </c>
      <c r="I79" s="3">
        <v>5000</v>
      </c>
      <c r="J79" s="4">
        <v>10</v>
      </c>
      <c r="K79" s="3">
        <f>Table1[[#This Row],[Quantity]]*Table1[[#This Row],[Unit_Price]]</f>
        <v>65000</v>
      </c>
      <c r="L79" s="3">
        <v>42250</v>
      </c>
      <c r="M79" s="3">
        <f>Table1[[#This Row],[Final Sales]]-Table1[[#This Row],[Cost]]</f>
        <v>16250</v>
      </c>
      <c r="N79" s="3">
        <f>Table1[[#This Row],[Revenue]]*(Table1[[#This Row],[Discount_%]]/100)</f>
        <v>6500</v>
      </c>
      <c r="O79" s="3">
        <f>Table1[[#This Row],[Revenue]]-Table1[[#This Row],[Discount Amount]]</f>
        <v>58500</v>
      </c>
      <c r="P79" s="1">
        <f>Table1[[#This Row],[Profit]]/Table1[[#This Row],[Final Sales]]</f>
        <v>0.27777777777777779</v>
      </c>
    </row>
    <row r="80" spans="1:16">
      <c r="A80">
        <v>79</v>
      </c>
      <c r="B80" s="2" t="s">
        <v>16</v>
      </c>
      <c r="C80" s="2" t="str">
        <f>TEXT(Table1[[#This Row],[Order_Date]],"mmm")</f>
        <v>Feb</v>
      </c>
      <c r="D80" t="s">
        <v>22</v>
      </c>
      <c r="E80" t="s">
        <v>18</v>
      </c>
      <c r="F80" t="s">
        <v>31</v>
      </c>
      <c r="G80" t="s">
        <v>32</v>
      </c>
      <c r="H80">
        <v>12</v>
      </c>
      <c r="I80" s="3">
        <v>150</v>
      </c>
      <c r="J80" s="4">
        <v>10</v>
      </c>
      <c r="K80" s="3">
        <f>Table1[[#This Row],[Quantity]]*Table1[[#This Row],[Unit_Price]]</f>
        <v>1800</v>
      </c>
      <c r="L80" s="3">
        <v>1170</v>
      </c>
      <c r="M80" s="3">
        <f>Table1[[#This Row],[Final Sales]]-Table1[[#This Row],[Cost]]</f>
        <v>450</v>
      </c>
      <c r="N80" s="3">
        <f>Table1[[#This Row],[Revenue]]*(Table1[[#This Row],[Discount_%]]/100)</f>
        <v>180</v>
      </c>
      <c r="O80" s="3">
        <f>Table1[[#This Row],[Revenue]]-Table1[[#This Row],[Discount Amount]]</f>
        <v>1620</v>
      </c>
      <c r="P80" s="1">
        <f>Table1[[#This Row],[Profit]]/Table1[[#This Row],[Final Sales]]</f>
        <v>0.27777777777777779</v>
      </c>
    </row>
    <row r="81" spans="1:16">
      <c r="A81">
        <v>80</v>
      </c>
      <c r="B81" s="2" t="s">
        <v>98</v>
      </c>
      <c r="C81" s="2" t="str">
        <f>TEXT(Table1[[#This Row],[Order_Date]],"mmm")</f>
        <v>Jun</v>
      </c>
      <c r="D81" t="s">
        <v>17</v>
      </c>
      <c r="E81" t="s">
        <v>23</v>
      </c>
      <c r="F81" t="s">
        <v>24</v>
      </c>
      <c r="G81" t="s">
        <v>25</v>
      </c>
      <c r="H81">
        <v>4</v>
      </c>
      <c r="I81" s="3">
        <v>800</v>
      </c>
      <c r="J81" s="4">
        <v>0</v>
      </c>
      <c r="K81" s="3">
        <f>Table1[[#This Row],[Quantity]]*Table1[[#This Row],[Unit_Price]]</f>
        <v>3200</v>
      </c>
      <c r="L81" s="3">
        <v>2080</v>
      </c>
      <c r="M81" s="3">
        <f>Table1[[#This Row],[Final Sales]]-Table1[[#This Row],[Cost]]</f>
        <v>1120</v>
      </c>
      <c r="N81" s="3">
        <f>Table1[[#This Row],[Revenue]]*(Table1[[#This Row],[Discount_%]]/100)</f>
        <v>0</v>
      </c>
      <c r="O81" s="3">
        <f>Table1[[#This Row],[Revenue]]-Table1[[#This Row],[Discount Amount]]</f>
        <v>3200</v>
      </c>
      <c r="P81" s="1">
        <f>Table1[[#This Row],[Profit]]/Table1[[#This Row],[Final Sales]]</f>
        <v>0.35</v>
      </c>
    </row>
    <row r="82" spans="1:16">
      <c r="A82">
        <v>81</v>
      </c>
      <c r="B82" s="2" t="s">
        <v>99</v>
      </c>
      <c r="C82" s="2" t="str">
        <f>TEXT(Table1[[#This Row],[Order_Date]],"mmm")</f>
        <v>Apr</v>
      </c>
      <c r="D82" t="s">
        <v>30</v>
      </c>
      <c r="E82" t="s">
        <v>34</v>
      </c>
      <c r="F82" t="s">
        <v>24</v>
      </c>
      <c r="G82" t="s">
        <v>53</v>
      </c>
      <c r="H82">
        <v>11</v>
      </c>
      <c r="I82" s="3">
        <v>250</v>
      </c>
      <c r="J82" s="4">
        <v>5</v>
      </c>
      <c r="K82" s="3">
        <f>Table1[[#This Row],[Quantity]]*Table1[[#This Row],[Unit_Price]]</f>
        <v>2750</v>
      </c>
      <c r="L82" s="3">
        <v>1787.5</v>
      </c>
      <c r="M82" s="3">
        <f>Table1[[#This Row],[Final Sales]]-Table1[[#This Row],[Cost]]</f>
        <v>825</v>
      </c>
      <c r="N82" s="3">
        <f>Table1[[#This Row],[Revenue]]*(Table1[[#This Row],[Discount_%]]/100)</f>
        <v>137.5</v>
      </c>
      <c r="O82" s="3">
        <f>Table1[[#This Row],[Revenue]]-Table1[[#This Row],[Discount Amount]]</f>
        <v>2612.5</v>
      </c>
      <c r="P82" s="1">
        <f>Table1[[#This Row],[Profit]]/Table1[[#This Row],[Final Sales]]</f>
        <v>0.31578947368421051</v>
      </c>
    </row>
    <row r="83" spans="1:16">
      <c r="A83">
        <v>82</v>
      </c>
      <c r="B83" s="2" t="s">
        <v>100</v>
      </c>
      <c r="C83" s="2" t="str">
        <f>TEXT(Table1[[#This Row],[Order_Date]],"mmm")</f>
        <v>Jan</v>
      </c>
      <c r="D83" t="s">
        <v>22</v>
      </c>
      <c r="E83" t="s">
        <v>34</v>
      </c>
      <c r="F83" t="s">
        <v>24</v>
      </c>
      <c r="G83" t="s">
        <v>25</v>
      </c>
      <c r="H83">
        <v>13</v>
      </c>
      <c r="I83" s="3">
        <v>500</v>
      </c>
      <c r="J83" s="4">
        <v>10</v>
      </c>
      <c r="K83" s="3">
        <f>Table1[[#This Row],[Quantity]]*Table1[[#This Row],[Unit_Price]]</f>
        <v>6500</v>
      </c>
      <c r="L83" s="3">
        <v>4225</v>
      </c>
      <c r="M83" s="3">
        <f>Table1[[#This Row],[Final Sales]]-Table1[[#This Row],[Cost]]</f>
        <v>1625</v>
      </c>
      <c r="N83" s="3">
        <f>Table1[[#This Row],[Revenue]]*(Table1[[#This Row],[Discount_%]]/100)</f>
        <v>650</v>
      </c>
      <c r="O83" s="3">
        <f>Table1[[#This Row],[Revenue]]-Table1[[#This Row],[Discount Amount]]</f>
        <v>5850</v>
      </c>
      <c r="P83" s="1">
        <f>Table1[[#This Row],[Profit]]/Table1[[#This Row],[Final Sales]]</f>
        <v>0.27777777777777779</v>
      </c>
    </row>
    <row r="84" spans="1:16">
      <c r="A84">
        <v>83</v>
      </c>
      <c r="B84" s="2" t="s">
        <v>101</v>
      </c>
      <c r="C84" s="2" t="str">
        <f>TEXT(Table1[[#This Row],[Order_Date]],"mmm")</f>
        <v>Jun</v>
      </c>
      <c r="D84" t="s">
        <v>17</v>
      </c>
      <c r="E84" t="s">
        <v>56</v>
      </c>
      <c r="F84" t="s">
        <v>19</v>
      </c>
      <c r="G84" t="s">
        <v>48</v>
      </c>
      <c r="H84">
        <v>7</v>
      </c>
      <c r="I84" s="3">
        <v>800</v>
      </c>
      <c r="J84" s="4">
        <v>0</v>
      </c>
      <c r="K84" s="3">
        <f>Table1[[#This Row],[Quantity]]*Table1[[#This Row],[Unit_Price]]</f>
        <v>5600</v>
      </c>
      <c r="L84" s="3">
        <v>3640</v>
      </c>
      <c r="M84" s="3">
        <f>Table1[[#This Row],[Final Sales]]-Table1[[#This Row],[Cost]]</f>
        <v>1960</v>
      </c>
      <c r="N84" s="3">
        <f>Table1[[#This Row],[Revenue]]*(Table1[[#This Row],[Discount_%]]/100)</f>
        <v>0</v>
      </c>
      <c r="O84" s="3">
        <f>Table1[[#This Row],[Revenue]]-Table1[[#This Row],[Discount Amount]]</f>
        <v>5600</v>
      </c>
      <c r="P84" s="1">
        <f>Table1[[#This Row],[Profit]]/Table1[[#This Row],[Final Sales]]</f>
        <v>0.35</v>
      </c>
    </row>
    <row r="85" spans="1:16">
      <c r="A85">
        <v>84</v>
      </c>
      <c r="B85" s="2" t="s">
        <v>102</v>
      </c>
      <c r="C85" s="2" t="str">
        <f>TEXT(Table1[[#This Row],[Order_Date]],"mmm")</f>
        <v>Mar</v>
      </c>
      <c r="D85" t="s">
        <v>27</v>
      </c>
      <c r="E85" t="s">
        <v>18</v>
      </c>
      <c r="F85" t="s">
        <v>19</v>
      </c>
      <c r="G85" t="s">
        <v>38</v>
      </c>
      <c r="H85">
        <v>14</v>
      </c>
      <c r="I85" s="3">
        <v>250</v>
      </c>
      <c r="J85" s="4">
        <v>0</v>
      </c>
      <c r="K85" s="3">
        <f>Table1[[#This Row],[Quantity]]*Table1[[#This Row],[Unit_Price]]</f>
        <v>3500</v>
      </c>
      <c r="L85" s="3">
        <v>2275</v>
      </c>
      <c r="M85" s="3">
        <f>Table1[[#This Row],[Final Sales]]-Table1[[#This Row],[Cost]]</f>
        <v>1225</v>
      </c>
      <c r="N85" s="3">
        <f>Table1[[#This Row],[Revenue]]*(Table1[[#This Row],[Discount_%]]/100)</f>
        <v>0</v>
      </c>
      <c r="O85" s="3">
        <f>Table1[[#This Row],[Revenue]]-Table1[[#This Row],[Discount Amount]]</f>
        <v>3500</v>
      </c>
      <c r="P85" s="1">
        <f>Table1[[#This Row],[Profit]]/Table1[[#This Row],[Final Sales]]</f>
        <v>0.35</v>
      </c>
    </row>
    <row r="86" spans="1:16">
      <c r="A86">
        <v>85</v>
      </c>
      <c r="B86" s="2" t="s">
        <v>93</v>
      </c>
      <c r="C86" s="2" t="str">
        <f>TEXT(Table1[[#This Row],[Order_Date]],"mmm")</f>
        <v>Apr</v>
      </c>
      <c r="D86" t="s">
        <v>27</v>
      </c>
      <c r="E86" t="s">
        <v>56</v>
      </c>
      <c r="F86" t="s">
        <v>31</v>
      </c>
      <c r="G86" t="s">
        <v>32</v>
      </c>
      <c r="H86">
        <v>9</v>
      </c>
      <c r="I86" s="3">
        <v>2500</v>
      </c>
      <c r="J86" s="4">
        <v>0</v>
      </c>
      <c r="K86" s="3">
        <f>Table1[[#This Row],[Quantity]]*Table1[[#This Row],[Unit_Price]]</f>
        <v>22500</v>
      </c>
      <c r="L86" s="3">
        <v>14625</v>
      </c>
      <c r="M86" s="3">
        <f>Table1[[#This Row],[Final Sales]]-Table1[[#This Row],[Cost]]</f>
        <v>7875</v>
      </c>
      <c r="N86" s="3">
        <f>Table1[[#This Row],[Revenue]]*(Table1[[#This Row],[Discount_%]]/100)</f>
        <v>0</v>
      </c>
      <c r="O86" s="3">
        <f>Table1[[#This Row],[Revenue]]-Table1[[#This Row],[Discount Amount]]</f>
        <v>22500</v>
      </c>
      <c r="P86" s="1">
        <f>Table1[[#This Row],[Profit]]/Table1[[#This Row],[Final Sales]]</f>
        <v>0.35</v>
      </c>
    </row>
    <row r="87" spans="1:16">
      <c r="A87">
        <v>86</v>
      </c>
      <c r="B87" s="2" t="s">
        <v>103</v>
      </c>
      <c r="C87" s="2" t="str">
        <f>TEXT(Table1[[#This Row],[Order_Date]],"mmm")</f>
        <v>Apr</v>
      </c>
      <c r="D87" t="s">
        <v>17</v>
      </c>
      <c r="E87" t="s">
        <v>18</v>
      </c>
      <c r="F87" t="s">
        <v>31</v>
      </c>
      <c r="G87" t="s">
        <v>46</v>
      </c>
      <c r="H87">
        <v>11</v>
      </c>
      <c r="I87" s="3">
        <v>12000</v>
      </c>
      <c r="J87" s="4">
        <v>5</v>
      </c>
      <c r="K87" s="3">
        <f>Table1[[#This Row],[Quantity]]*Table1[[#This Row],[Unit_Price]]</f>
        <v>132000</v>
      </c>
      <c r="L87" s="3">
        <v>85800</v>
      </c>
      <c r="M87" s="3">
        <f>Table1[[#This Row],[Final Sales]]-Table1[[#This Row],[Cost]]</f>
        <v>39600</v>
      </c>
      <c r="N87" s="3">
        <f>Table1[[#This Row],[Revenue]]*(Table1[[#This Row],[Discount_%]]/100)</f>
        <v>6600</v>
      </c>
      <c r="O87" s="3">
        <f>Table1[[#This Row],[Revenue]]-Table1[[#This Row],[Discount Amount]]</f>
        <v>125400</v>
      </c>
      <c r="P87" s="1">
        <f>Table1[[#This Row],[Profit]]/Table1[[#This Row],[Final Sales]]</f>
        <v>0.31578947368421051</v>
      </c>
    </row>
    <row r="88" spans="1:16">
      <c r="A88">
        <v>87</v>
      </c>
      <c r="B88" s="2" t="s">
        <v>103</v>
      </c>
      <c r="C88" s="2" t="str">
        <f>TEXT(Table1[[#This Row],[Order_Date]],"mmm")</f>
        <v>Apr</v>
      </c>
      <c r="D88" t="s">
        <v>30</v>
      </c>
      <c r="E88" t="s">
        <v>34</v>
      </c>
      <c r="F88" t="s">
        <v>19</v>
      </c>
      <c r="G88" t="s">
        <v>38</v>
      </c>
      <c r="H88">
        <v>10</v>
      </c>
      <c r="I88" s="3">
        <v>12000</v>
      </c>
      <c r="J88" s="4">
        <v>15</v>
      </c>
      <c r="K88" s="3">
        <f>Table1[[#This Row],[Quantity]]*Table1[[#This Row],[Unit_Price]]</f>
        <v>120000</v>
      </c>
      <c r="L88" s="3">
        <v>78000</v>
      </c>
      <c r="M88" s="3">
        <f>Table1[[#This Row],[Final Sales]]-Table1[[#This Row],[Cost]]</f>
        <v>24000</v>
      </c>
      <c r="N88" s="3">
        <f>Table1[[#This Row],[Revenue]]*(Table1[[#This Row],[Discount_%]]/100)</f>
        <v>18000</v>
      </c>
      <c r="O88" s="3">
        <f>Table1[[#This Row],[Revenue]]-Table1[[#This Row],[Discount Amount]]</f>
        <v>102000</v>
      </c>
      <c r="P88" s="1">
        <f>Table1[[#This Row],[Profit]]/Table1[[#This Row],[Final Sales]]</f>
        <v>0.23529411764705882</v>
      </c>
    </row>
    <row r="89" spans="1:16">
      <c r="A89">
        <v>88</v>
      </c>
      <c r="B89" s="2" t="s">
        <v>104</v>
      </c>
      <c r="C89" s="2" t="str">
        <f>TEXT(Table1[[#This Row],[Order_Date]],"mmm")</f>
        <v>Apr</v>
      </c>
      <c r="D89" t="s">
        <v>27</v>
      </c>
      <c r="E89" t="s">
        <v>34</v>
      </c>
      <c r="F89" t="s">
        <v>24</v>
      </c>
      <c r="G89" t="s">
        <v>25</v>
      </c>
      <c r="H89">
        <v>5</v>
      </c>
      <c r="I89" s="3">
        <v>12000</v>
      </c>
      <c r="J89" s="4">
        <v>5</v>
      </c>
      <c r="K89" s="3">
        <f>Table1[[#This Row],[Quantity]]*Table1[[#This Row],[Unit_Price]]</f>
        <v>60000</v>
      </c>
      <c r="L89" s="3">
        <v>39000</v>
      </c>
      <c r="M89" s="3">
        <f>Table1[[#This Row],[Final Sales]]-Table1[[#This Row],[Cost]]</f>
        <v>18000</v>
      </c>
      <c r="N89" s="3">
        <f>Table1[[#This Row],[Revenue]]*(Table1[[#This Row],[Discount_%]]/100)</f>
        <v>3000</v>
      </c>
      <c r="O89" s="3">
        <f>Table1[[#This Row],[Revenue]]-Table1[[#This Row],[Discount Amount]]</f>
        <v>57000</v>
      </c>
      <c r="P89" s="1">
        <f>Table1[[#This Row],[Profit]]/Table1[[#This Row],[Final Sales]]</f>
        <v>0.31578947368421051</v>
      </c>
    </row>
    <row r="90" spans="1:16">
      <c r="A90">
        <v>89</v>
      </c>
      <c r="B90" s="2" t="s">
        <v>105</v>
      </c>
      <c r="C90" s="2" t="str">
        <f>TEXT(Table1[[#This Row],[Order_Date]],"mmm")</f>
        <v>May</v>
      </c>
      <c r="D90" t="s">
        <v>17</v>
      </c>
      <c r="E90" t="s">
        <v>34</v>
      </c>
      <c r="F90" t="s">
        <v>24</v>
      </c>
      <c r="G90" t="s">
        <v>53</v>
      </c>
      <c r="H90">
        <v>14</v>
      </c>
      <c r="I90" s="3">
        <v>2500</v>
      </c>
      <c r="J90" s="4">
        <v>5</v>
      </c>
      <c r="K90" s="3">
        <f>Table1[[#This Row],[Quantity]]*Table1[[#This Row],[Unit_Price]]</f>
        <v>35000</v>
      </c>
      <c r="L90" s="3">
        <v>22750</v>
      </c>
      <c r="M90" s="3">
        <f>Table1[[#This Row],[Final Sales]]-Table1[[#This Row],[Cost]]</f>
        <v>10500</v>
      </c>
      <c r="N90" s="3">
        <f>Table1[[#This Row],[Revenue]]*(Table1[[#This Row],[Discount_%]]/100)</f>
        <v>1750</v>
      </c>
      <c r="O90" s="3">
        <f>Table1[[#This Row],[Revenue]]-Table1[[#This Row],[Discount Amount]]</f>
        <v>33250</v>
      </c>
      <c r="P90" s="1">
        <f>Table1[[#This Row],[Profit]]/Table1[[#This Row],[Final Sales]]</f>
        <v>0.31578947368421051</v>
      </c>
    </row>
    <row r="91" spans="1:16">
      <c r="A91">
        <v>90</v>
      </c>
      <c r="B91" s="2" t="s">
        <v>106</v>
      </c>
      <c r="C91" s="2" t="str">
        <f>TEXT(Table1[[#This Row],[Order_Date]],"mmm")</f>
        <v>May</v>
      </c>
      <c r="D91" t="s">
        <v>17</v>
      </c>
      <c r="E91" t="s">
        <v>56</v>
      </c>
      <c r="F91" t="s">
        <v>31</v>
      </c>
      <c r="G91" t="s">
        <v>46</v>
      </c>
      <c r="H91">
        <v>5</v>
      </c>
      <c r="I91" s="3">
        <v>1200</v>
      </c>
      <c r="J91" s="4">
        <v>0</v>
      </c>
      <c r="K91" s="3">
        <f>Table1[[#This Row],[Quantity]]*Table1[[#This Row],[Unit_Price]]</f>
        <v>6000</v>
      </c>
      <c r="L91" s="3">
        <v>3900</v>
      </c>
      <c r="M91" s="3">
        <f>Table1[[#This Row],[Final Sales]]-Table1[[#This Row],[Cost]]</f>
        <v>2100</v>
      </c>
      <c r="N91" s="3">
        <f>Table1[[#This Row],[Revenue]]*(Table1[[#This Row],[Discount_%]]/100)</f>
        <v>0</v>
      </c>
      <c r="O91" s="3">
        <f>Table1[[#This Row],[Revenue]]-Table1[[#This Row],[Discount Amount]]</f>
        <v>6000</v>
      </c>
      <c r="P91" s="1">
        <f>Table1[[#This Row],[Profit]]/Table1[[#This Row],[Final Sales]]</f>
        <v>0.35</v>
      </c>
    </row>
    <row r="92" spans="1:16">
      <c r="A92">
        <v>91</v>
      </c>
      <c r="B92" s="2" t="s">
        <v>107</v>
      </c>
      <c r="C92" s="2" t="str">
        <f>TEXT(Table1[[#This Row],[Order_Date]],"mmm")</f>
        <v>Jun</v>
      </c>
      <c r="D92" t="s">
        <v>27</v>
      </c>
      <c r="E92" t="s">
        <v>37</v>
      </c>
      <c r="F92" t="s">
        <v>24</v>
      </c>
      <c r="G92" t="s">
        <v>53</v>
      </c>
      <c r="H92">
        <v>8</v>
      </c>
      <c r="I92" s="3">
        <v>800</v>
      </c>
      <c r="J92" s="4">
        <v>15</v>
      </c>
      <c r="K92" s="3">
        <f>Table1[[#This Row],[Quantity]]*Table1[[#This Row],[Unit_Price]]</f>
        <v>6400</v>
      </c>
      <c r="L92" s="3">
        <v>4160</v>
      </c>
      <c r="M92" s="3">
        <f>Table1[[#This Row],[Final Sales]]-Table1[[#This Row],[Cost]]</f>
        <v>1280</v>
      </c>
      <c r="N92" s="3">
        <f>Table1[[#This Row],[Revenue]]*(Table1[[#This Row],[Discount_%]]/100)</f>
        <v>960</v>
      </c>
      <c r="O92" s="3">
        <f>Table1[[#This Row],[Revenue]]-Table1[[#This Row],[Discount Amount]]</f>
        <v>5440</v>
      </c>
      <c r="P92" s="1">
        <f>Table1[[#This Row],[Profit]]/Table1[[#This Row],[Final Sales]]</f>
        <v>0.23529411764705882</v>
      </c>
    </row>
    <row r="93" spans="1:16">
      <c r="A93">
        <v>92</v>
      </c>
      <c r="B93" s="2" t="s">
        <v>108</v>
      </c>
      <c r="C93" s="2" t="str">
        <f>TEXT(Table1[[#This Row],[Order_Date]],"mmm")</f>
        <v>Jun</v>
      </c>
      <c r="D93" t="s">
        <v>17</v>
      </c>
      <c r="E93" t="s">
        <v>34</v>
      </c>
      <c r="F93" t="s">
        <v>24</v>
      </c>
      <c r="G93" t="s">
        <v>25</v>
      </c>
      <c r="H93">
        <v>5</v>
      </c>
      <c r="I93" s="3">
        <v>800</v>
      </c>
      <c r="J93" s="4">
        <v>15</v>
      </c>
      <c r="K93" s="3">
        <f>Table1[[#This Row],[Quantity]]*Table1[[#This Row],[Unit_Price]]</f>
        <v>4000</v>
      </c>
      <c r="L93" s="3">
        <v>2600</v>
      </c>
      <c r="M93" s="3">
        <f>Table1[[#This Row],[Final Sales]]-Table1[[#This Row],[Cost]]</f>
        <v>800</v>
      </c>
      <c r="N93" s="3">
        <f>Table1[[#This Row],[Revenue]]*(Table1[[#This Row],[Discount_%]]/100)</f>
        <v>600</v>
      </c>
      <c r="O93" s="3">
        <f>Table1[[#This Row],[Revenue]]-Table1[[#This Row],[Discount Amount]]</f>
        <v>3400</v>
      </c>
      <c r="P93" s="1">
        <f>Table1[[#This Row],[Profit]]/Table1[[#This Row],[Final Sales]]</f>
        <v>0.23529411764705882</v>
      </c>
    </row>
    <row r="94" spans="1:16">
      <c r="A94">
        <v>93</v>
      </c>
      <c r="B94" s="2" t="s">
        <v>68</v>
      </c>
      <c r="C94" s="2" t="str">
        <f>TEXT(Table1[[#This Row],[Order_Date]],"mmm")</f>
        <v>May</v>
      </c>
      <c r="D94" t="s">
        <v>30</v>
      </c>
      <c r="E94" t="s">
        <v>34</v>
      </c>
      <c r="F94" t="s">
        <v>19</v>
      </c>
      <c r="G94" t="s">
        <v>38</v>
      </c>
      <c r="H94">
        <v>8</v>
      </c>
      <c r="I94" s="3">
        <v>2500</v>
      </c>
      <c r="J94" s="4">
        <v>15</v>
      </c>
      <c r="K94" s="3">
        <f>Table1[[#This Row],[Quantity]]*Table1[[#This Row],[Unit_Price]]</f>
        <v>20000</v>
      </c>
      <c r="L94" s="3">
        <v>13000</v>
      </c>
      <c r="M94" s="3">
        <f>Table1[[#This Row],[Final Sales]]-Table1[[#This Row],[Cost]]</f>
        <v>4000</v>
      </c>
      <c r="N94" s="3">
        <f>Table1[[#This Row],[Revenue]]*(Table1[[#This Row],[Discount_%]]/100)</f>
        <v>3000</v>
      </c>
      <c r="O94" s="3">
        <f>Table1[[#This Row],[Revenue]]-Table1[[#This Row],[Discount Amount]]</f>
        <v>17000</v>
      </c>
      <c r="P94" s="1">
        <f>Table1[[#This Row],[Profit]]/Table1[[#This Row],[Final Sales]]</f>
        <v>0.23529411764705882</v>
      </c>
    </row>
    <row r="95" spans="1:16">
      <c r="A95">
        <v>94</v>
      </c>
      <c r="B95" s="2" t="s">
        <v>109</v>
      </c>
      <c r="C95" s="2" t="str">
        <f>TEXT(Table1[[#This Row],[Order_Date]],"mmm")</f>
        <v>Mar</v>
      </c>
      <c r="D95" t="s">
        <v>22</v>
      </c>
      <c r="E95" t="s">
        <v>18</v>
      </c>
      <c r="F95" t="s">
        <v>19</v>
      </c>
      <c r="G95" t="s">
        <v>48</v>
      </c>
      <c r="H95">
        <v>5</v>
      </c>
      <c r="I95" s="3">
        <v>1200</v>
      </c>
      <c r="J95" s="4">
        <v>10</v>
      </c>
      <c r="K95" s="3">
        <f>Table1[[#This Row],[Quantity]]*Table1[[#This Row],[Unit_Price]]</f>
        <v>6000</v>
      </c>
      <c r="L95" s="3">
        <v>3900</v>
      </c>
      <c r="M95" s="3">
        <f>Table1[[#This Row],[Final Sales]]-Table1[[#This Row],[Cost]]</f>
        <v>1500</v>
      </c>
      <c r="N95" s="3">
        <f>Table1[[#This Row],[Revenue]]*(Table1[[#This Row],[Discount_%]]/100)</f>
        <v>600</v>
      </c>
      <c r="O95" s="3">
        <f>Table1[[#This Row],[Revenue]]-Table1[[#This Row],[Discount Amount]]</f>
        <v>5400</v>
      </c>
      <c r="P95" s="1">
        <f>Table1[[#This Row],[Profit]]/Table1[[#This Row],[Final Sales]]</f>
        <v>0.27777777777777779</v>
      </c>
    </row>
    <row r="96" spans="1:16">
      <c r="A96">
        <v>95</v>
      </c>
      <c r="B96" s="2" t="s">
        <v>110</v>
      </c>
      <c r="C96" s="2" t="str">
        <f>TEXT(Table1[[#This Row],[Order_Date]],"mmm")</f>
        <v>Feb</v>
      </c>
      <c r="D96" t="s">
        <v>27</v>
      </c>
      <c r="E96" t="s">
        <v>34</v>
      </c>
      <c r="F96" t="s">
        <v>24</v>
      </c>
      <c r="G96" t="s">
        <v>35</v>
      </c>
      <c r="H96">
        <v>2</v>
      </c>
      <c r="I96" s="3">
        <v>500</v>
      </c>
      <c r="J96" s="4">
        <v>5</v>
      </c>
      <c r="K96" s="3">
        <f>Table1[[#This Row],[Quantity]]*Table1[[#This Row],[Unit_Price]]</f>
        <v>1000</v>
      </c>
      <c r="L96" s="3">
        <v>650</v>
      </c>
      <c r="M96" s="3">
        <f>Table1[[#This Row],[Final Sales]]-Table1[[#This Row],[Cost]]</f>
        <v>300</v>
      </c>
      <c r="N96" s="3">
        <f>Table1[[#This Row],[Revenue]]*(Table1[[#This Row],[Discount_%]]/100)</f>
        <v>50</v>
      </c>
      <c r="O96" s="3">
        <f>Table1[[#This Row],[Revenue]]-Table1[[#This Row],[Discount Amount]]</f>
        <v>950</v>
      </c>
      <c r="P96" s="1">
        <f>Table1[[#This Row],[Profit]]/Table1[[#This Row],[Final Sales]]</f>
        <v>0.31578947368421051</v>
      </c>
    </row>
    <row r="97" spans="1:16">
      <c r="A97">
        <v>96</v>
      </c>
      <c r="B97" s="2" t="s">
        <v>43</v>
      </c>
      <c r="C97" s="2" t="str">
        <f>TEXT(Table1[[#This Row],[Order_Date]],"mmm")</f>
        <v>Feb</v>
      </c>
      <c r="D97" t="s">
        <v>30</v>
      </c>
      <c r="E97" t="s">
        <v>23</v>
      </c>
      <c r="F97" t="s">
        <v>19</v>
      </c>
      <c r="G97" t="s">
        <v>38</v>
      </c>
      <c r="H97">
        <v>2</v>
      </c>
      <c r="I97" s="3">
        <v>800</v>
      </c>
      <c r="J97" s="4">
        <v>10</v>
      </c>
      <c r="K97" s="3">
        <f>Table1[[#This Row],[Quantity]]*Table1[[#This Row],[Unit_Price]]</f>
        <v>1600</v>
      </c>
      <c r="L97" s="3">
        <v>1040</v>
      </c>
      <c r="M97" s="3">
        <f>Table1[[#This Row],[Final Sales]]-Table1[[#This Row],[Cost]]</f>
        <v>400</v>
      </c>
      <c r="N97" s="3">
        <f>Table1[[#This Row],[Revenue]]*(Table1[[#This Row],[Discount_%]]/100)</f>
        <v>160</v>
      </c>
      <c r="O97" s="3">
        <f>Table1[[#This Row],[Revenue]]-Table1[[#This Row],[Discount Amount]]</f>
        <v>1440</v>
      </c>
      <c r="P97" s="1">
        <f>Table1[[#This Row],[Profit]]/Table1[[#This Row],[Final Sales]]</f>
        <v>0.27777777777777779</v>
      </c>
    </row>
    <row r="98" spans="1:16">
      <c r="A98">
        <v>97</v>
      </c>
      <c r="B98" s="2" t="s">
        <v>111</v>
      </c>
      <c r="C98" s="2" t="str">
        <f>TEXT(Table1[[#This Row],[Order_Date]],"mmm")</f>
        <v>Jan</v>
      </c>
      <c r="D98" t="s">
        <v>22</v>
      </c>
      <c r="E98" t="s">
        <v>28</v>
      </c>
      <c r="F98" t="s">
        <v>31</v>
      </c>
      <c r="G98" t="s">
        <v>32</v>
      </c>
      <c r="H98">
        <v>12</v>
      </c>
      <c r="I98" s="3">
        <v>500</v>
      </c>
      <c r="J98" s="4">
        <v>10</v>
      </c>
      <c r="K98" s="3">
        <f>Table1[[#This Row],[Quantity]]*Table1[[#This Row],[Unit_Price]]</f>
        <v>6000</v>
      </c>
      <c r="L98" s="3">
        <v>3900</v>
      </c>
      <c r="M98" s="3">
        <f>Table1[[#This Row],[Final Sales]]-Table1[[#This Row],[Cost]]</f>
        <v>1500</v>
      </c>
      <c r="N98" s="3">
        <f>Table1[[#This Row],[Revenue]]*(Table1[[#This Row],[Discount_%]]/100)</f>
        <v>600</v>
      </c>
      <c r="O98" s="3">
        <f>Table1[[#This Row],[Revenue]]-Table1[[#This Row],[Discount Amount]]</f>
        <v>5400</v>
      </c>
      <c r="P98" s="1">
        <f>Table1[[#This Row],[Profit]]/Table1[[#This Row],[Final Sales]]</f>
        <v>0.27777777777777779</v>
      </c>
    </row>
    <row r="99" spans="1:16">
      <c r="A99">
        <v>98</v>
      </c>
      <c r="B99" s="2" t="s">
        <v>112</v>
      </c>
      <c r="C99" s="2" t="str">
        <f>TEXT(Table1[[#This Row],[Order_Date]],"mmm")</f>
        <v>Jan</v>
      </c>
      <c r="D99" t="s">
        <v>30</v>
      </c>
      <c r="E99" t="s">
        <v>37</v>
      </c>
      <c r="F99" t="s">
        <v>31</v>
      </c>
      <c r="G99" t="s">
        <v>44</v>
      </c>
      <c r="H99">
        <v>11</v>
      </c>
      <c r="I99" s="3">
        <v>12000</v>
      </c>
      <c r="J99" s="4">
        <v>0</v>
      </c>
      <c r="K99" s="3">
        <f>Table1[[#This Row],[Quantity]]*Table1[[#This Row],[Unit_Price]]</f>
        <v>132000</v>
      </c>
      <c r="L99" s="3">
        <v>85800</v>
      </c>
      <c r="M99" s="3">
        <f>Table1[[#This Row],[Final Sales]]-Table1[[#This Row],[Cost]]</f>
        <v>46200</v>
      </c>
      <c r="N99" s="3">
        <f>Table1[[#This Row],[Revenue]]*(Table1[[#This Row],[Discount_%]]/100)</f>
        <v>0</v>
      </c>
      <c r="O99" s="3">
        <f>Table1[[#This Row],[Revenue]]-Table1[[#This Row],[Discount Amount]]</f>
        <v>132000</v>
      </c>
      <c r="P99" s="1">
        <f>Table1[[#This Row],[Profit]]/Table1[[#This Row],[Final Sales]]</f>
        <v>0.35</v>
      </c>
    </row>
    <row r="100" spans="1:16">
      <c r="A100">
        <v>99</v>
      </c>
      <c r="B100" s="2" t="s">
        <v>113</v>
      </c>
      <c r="C100" s="2" t="str">
        <f>TEXT(Table1[[#This Row],[Order_Date]],"mmm")</f>
        <v>Mar</v>
      </c>
      <c r="D100" t="s">
        <v>27</v>
      </c>
      <c r="E100" t="s">
        <v>56</v>
      </c>
      <c r="F100" t="s">
        <v>31</v>
      </c>
      <c r="G100" t="s">
        <v>57</v>
      </c>
      <c r="H100">
        <v>6</v>
      </c>
      <c r="I100" s="3">
        <v>500</v>
      </c>
      <c r="J100" s="4">
        <v>0</v>
      </c>
      <c r="K100" s="3">
        <f>Table1[[#This Row],[Quantity]]*Table1[[#This Row],[Unit_Price]]</f>
        <v>3000</v>
      </c>
      <c r="L100" s="3">
        <v>1950</v>
      </c>
      <c r="M100" s="3">
        <f>Table1[[#This Row],[Final Sales]]-Table1[[#This Row],[Cost]]</f>
        <v>1050</v>
      </c>
      <c r="N100" s="3">
        <f>Table1[[#This Row],[Revenue]]*(Table1[[#This Row],[Discount_%]]/100)</f>
        <v>0</v>
      </c>
      <c r="O100" s="3">
        <f>Table1[[#This Row],[Revenue]]-Table1[[#This Row],[Discount Amount]]</f>
        <v>3000</v>
      </c>
      <c r="P100" s="1">
        <f>Table1[[#This Row],[Profit]]/Table1[[#This Row],[Final Sales]]</f>
        <v>0.35</v>
      </c>
    </row>
    <row r="101" spans="1:16">
      <c r="A101">
        <v>100</v>
      </c>
      <c r="B101" s="2" t="s">
        <v>91</v>
      </c>
      <c r="C101" s="2" t="str">
        <f>TEXT(Table1[[#This Row],[Order_Date]],"mmm")</f>
        <v>Feb</v>
      </c>
      <c r="D101" t="s">
        <v>17</v>
      </c>
      <c r="E101" t="s">
        <v>28</v>
      </c>
      <c r="F101" t="s">
        <v>24</v>
      </c>
      <c r="G101" t="s">
        <v>53</v>
      </c>
      <c r="H101">
        <v>8</v>
      </c>
      <c r="I101" s="3">
        <v>250</v>
      </c>
      <c r="J101" s="4">
        <v>0</v>
      </c>
      <c r="K101" s="3">
        <f>Table1[[#This Row],[Quantity]]*Table1[[#This Row],[Unit_Price]]</f>
        <v>2000</v>
      </c>
      <c r="L101" s="3">
        <v>1300</v>
      </c>
      <c r="M101" s="3">
        <f>Table1[[#This Row],[Final Sales]]-Table1[[#This Row],[Cost]]</f>
        <v>700</v>
      </c>
      <c r="N101" s="3">
        <f>Table1[[#This Row],[Revenue]]*(Table1[[#This Row],[Discount_%]]/100)</f>
        <v>0</v>
      </c>
      <c r="O101" s="3">
        <f>Table1[[#This Row],[Revenue]]-Table1[[#This Row],[Discount Amount]]</f>
        <v>2000</v>
      </c>
      <c r="P101" s="1">
        <f>Table1[[#This Row],[Profit]]/Table1[[#This Row],[Final Sales]]</f>
        <v>0.35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C034-F0D9-4FAC-99D6-4DF0D109E559}">
  <dimension ref="B2:I20"/>
  <sheetViews>
    <sheetView tabSelected="1" topLeftCell="I1" workbookViewId="0">
      <selection activeCell="E12" sqref="E12"/>
    </sheetView>
  </sheetViews>
  <sheetFormatPr defaultRowHeight="15"/>
  <cols>
    <col min="2" max="2" width="11.7109375" bestFit="1" customWidth="1"/>
    <col min="3" max="3" width="20.28515625" customWidth="1"/>
    <col min="5" max="5" width="12.28515625" bestFit="1" customWidth="1"/>
    <col min="6" max="6" width="12.85546875" bestFit="1" customWidth="1"/>
    <col min="9" max="9" width="12.85546875" bestFit="1" customWidth="1"/>
  </cols>
  <sheetData>
    <row r="2" spans="2:9">
      <c r="B2" s="5" t="s">
        <v>2</v>
      </c>
      <c r="C2" t="s">
        <v>114</v>
      </c>
      <c r="H2" s="5" t="s">
        <v>6</v>
      </c>
      <c r="I2" t="s">
        <v>115</v>
      </c>
    </row>
    <row r="3" spans="2:9">
      <c r="B3" t="s">
        <v>116</v>
      </c>
      <c r="C3" s="6">
        <v>537890</v>
      </c>
      <c r="H3" t="s">
        <v>46</v>
      </c>
      <c r="I3" s="3">
        <v>78060</v>
      </c>
    </row>
    <row r="4" spans="2:9">
      <c r="B4" t="s">
        <v>117</v>
      </c>
      <c r="C4" s="6">
        <v>198992.5</v>
      </c>
      <c r="E4" s="5" t="s">
        <v>5</v>
      </c>
      <c r="F4" t="s">
        <v>115</v>
      </c>
      <c r="H4" t="s">
        <v>32</v>
      </c>
      <c r="I4" s="3">
        <v>31082.5</v>
      </c>
    </row>
    <row r="5" spans="2:9">
      <c r="B5" t="s">
        <v>118</v>
      </c>
      <c r="C5" s="6">
        <v>157450</v>
      </c>
      <c r="E5" t="s">
        <v>31</v>
      </c>
      <c r="F5" s="3">
        <v>199265</v>
      </c>
      <c r="H5" t="s">
        <v>44</v>
      </c>
      <c r="I5" s="3">
        <v>80090</v>
      </c>
    </row>
    <row r="6" spans="2:9">
      <c r="B6" t="s">
        <v>119</v>
      </c>
      <c r="C6" s="6">
        <v>629467.5</v>
      </c>
      <c r="E6" t="s">
        <v>120</v>
      </c>
      <c r="F6" s="3">
        <v>199265</v>
      </c>
      <c r="H6" t="s">
        <v>35</v>
      </c>
      <c r="I6" s="3">
        <v>31460</v>
      </c>
    </row>
    <row r="7" spans="2:9">
      <c r="B7" t="s">
        <v>121</v>
      </c>
      <c r="C7" s="6">
        <v>296672.5</v>
      </c>
      <c r="H7" t="s">
        <v>25</v>
      </c>
      <c r="I7" s="3">
        <v>94820</v>
      </c>
    </row>
    <row r="8" spans="2:9">
      <c r="B8" t="s">
        <v>122</v>
      </c>
      <c r="C8" s="6">
        <v>134825</v>
      </c>
      <c r="H8" t="s">
        <v>38</v>
      </c>
      <c r="I8" s="3">
        <v>95952.5</v>
      </c>
    </row>
    <row r="9" spans="2:9">
      <c r="B9" t="s">
        <v>123</v>
      </c>
      <c r="C9" s="6"/>
      <c r="H9" t="s">
        <v>53</v>
      </c>
      <c r="I9" s="3">
        <v>17900</v>
      </c>
    </row>
    <row r="10" spans="2:9">
      <c r="B10" t="s">
        <v>120</v>
      </c>
      <c r="C10" s="6">
        <v>1955297.5</v>
      </c>
      <c r="H10" t="s">
        <v>67</v>
      </c>
      <c r="I10" s="3">
        <v>26700</v>
      </c>
    </row>
    <row r="11" spans="2:9">
      <c r="H11" t="s">
        <v>20</v>
      </c>
      <c r="I11" s="3">
        <v>50722.5</v>
      </c>
    </row>
    <row r="12" spans="2:9">
      <c r="E12" s="5" t="s">
        <v>3</v>
      </c>
      <c r="F12" t="s">
        <v>114</v>
      </c>
      <c r="H12" t="s">
        <v>60</v>
      </c>
      <c r="I12" s="3">
        <v>21190</v>
      </c>
    </row>
    <row r="13" spans="2:9">
      <c r="B13" s="5" t="s">
        <v>4</v>
      </c>
      <c r="C13" t="s">
        <v>115</v>
      </c>
      <c r="E13" t="s">
        <v>30</v>
      </c>
      <c r="F13" s="3">
        <v>586827.5</v>
      </c>
      <c r="H13" t="s">
        <v>48</v>
      </c>
      <c r="I13" s="3">
        <v>44520</v>
      </c>
    </row>
    <row r="14" spans="2:9">
      <c r="B14" t="s">
        <v>56</v>
      </c>
      <c r="C14" s="3">
        <v>47742.5</v>
      </c>
      <c r="E14" t="s">
        <v>22</v>
      </c>
      <c r="F14" s="3">
        <v>345482.5</v>
      </c>
      <c r="H14" t="s">
        <v>57</v>
      </c>
      <c r="I14" s="3">
        <v>10032.5</v>
      </c>
    </row>
    <row r="15" spans="2:9">
      <c r="B15" t="s">
        <v>34</v>
      </c>
      <c r="C15" s="3">
        <v>143195</v>
      </c>
      <c r="E15" t="s">
        <v>17</v>
      </c>
      <c r="F15" s="3">
        <v>617795</v>
      </c>
      <c r="H15" t="s">
        <v>120</v>
      </c>
      <c r="I15" s="3">
        <v>582530</v>
      </c>
    </row>
    <row r="16" spans="2:9">
      <c r="B16" t="s">
        <v>28</v>
      </c>
      <c r="C16" s="3">
        <v>49460</v>
      </c>
      <c r="E16" t="s">
        <v>27</v>
      </c>
      <c r="F16" s="3">
        <v>405192.5</v>
      </c>
    </row>
    <row r="17" spans="2:6">
      <c r="B17" t="s">
        <v>18</v>
      </c>
      <c r="C17" s="3">
        <v>128120</v>
      </c>
      <c r="E17" t="s">
        <v>120</v>
      </c>
      <c r="F17" s="3">
        <v>1955297.5</v>
      </c>
    </row>
    <row r="18" spans="2:6">
      <c r="B18" t="s">
        <v>37</v>
      </c>
      <c r="C18" s="3">
        <v>83080</v>
      </c>
    </row>
    <row r="19" spans="2:6">
      <c r="B19" t="s">
        <v>23</v>
      </c>
      <c r="C19" s="3">
        <v>130932.5</v>
      </c>
    </row>
    <row r="20" spans="2:6">
      <c r="B20" t="s">
        <v>120</v>
      </c>
      <c r="C20" s="3">
        <v>582530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30C5-3C32-4620-8A20-E82114021A96}">
  <dimension ref="A1:J8"/>
  <sheetViews>
    <sheetView showGridLines="0" workbookViewId="0">
      <selection activeCell="K1" sqref="K1"/>
    </sheetView>
  </sheetViews>
  <sheetFormatPr defaultRowHeight="15"/>
  <cols>
    <col min="1" max="1" width="11.7109375" bestFit="1" customWidth="1"/>
    <col min="2" max="2" width="17.42578125" bestFit="1" customWidth="1"/>
    <col min="4" max="4" width="14.140625" bestFit="1" customWidth="1"/>
    <col min="5" max="5" width="12.85546875" bestFit="1" customWidth="1"/>
    <col min="6" max="6" width="11.7109375" bestFit="1" customWidth="1"/>
    <col min="7" max="7" width="17.42578125" bestFit="1" customWidth="1"/>
    <col min="8" max="8" width="11.7109375" bestFit="1" customWidth="1"/>
    <col min="9" max="9" width="12.85546875" bestFit="1" customWidth="1"/>
    <col min="11" max="11" width="11.7109375" bestFit="1" customWidth="1"/>
    <col min="12" max="12" width="15" bestFit="1" customWidth="1"/>
    <col min="13" max="13" width="12.85546875" bestFit="1" customWidth="1"/>
  </cols>
  <sheetData>
    <row r="1" spans="1:10" ht="15" customHeight="1">
      <c r="A1" s="8" t="s">
        <v>124</v>
      </c>
      <c r="B1" s="9"/>
      <c r="C1" s="9"/>
      <c r="D1" s="9"/>
      <c r="E1" s="9"/>
      <c r="F1" s="9"/>
      <c r="G1" s="9"/>
      <c r="H1" s="9"/>
      <c r="I1" s="9"/>
      <c r="J1" s="9"/>
    </row>
    <row r="2" spans="1:10" ht="15" customHeight="1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5" customHeight="1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s="7" customFormat="1" ht="15" customHeight="1">
      <c r="A4" s="10" t="s">
        <v>125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s="7" customFormat="1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s="7" customFormat="1" ht="31.5">
      <c r="A6" s="17" t="s">
        <v>126</v>
      </c>
      <c r="B6" s="18"/>
      <c r="C6" s="19" t="s">
        <v>127</v>
      </c>
      <c r="D6" s="20"/>
      <c r="E6" s="21" t="s">
        <v>128</v>
      </c>
      <c r="F6" s="21"/>
      <c r="G6" s="22" t="s">
        <v>129</v>
      </c>
      <c r="H6" s="22"/>
      <c r="I6" s="23" t="s">
        <v>130</v>
      </c>
      <c r="J6" s="24"/>
    </row>
    <row r="7" spans="1:10" s="7" customFormat="1" ht="15" customHeight="1">
      <c r="A7" s="12">
        <f>SUM(SalesData!O:O)</f>
        <v>1955297.5</v>
      </c>
      <c r="B7" s="12"/>
      <c r="C7" s="13">
        <f>SUM(SalesData!M:M)</f>
        <v>582530</v>
      </c>
      <c r="D7" s="13"/>
      <c r="E7" s="14">
        <f>COUNTA(SalesData!A:A)</f>
        <v>101</v>
      </c>
      <c r="F7" s="14"/>
      <c r="G7" s="15">
        <f>AVERAGE(SalesData!O:O)</f>
        <v>19552.974999999999</v>
      </c>
      <c r="H7" s="15"/>
      <c r="I7" s="16">
        <f>AVERAGE(SalesData!J:J)/100</f>
        <v>7.6499999999999999E-2</v>
      </c>
      <c r="J7" s="16"/>
    </row>
    <row r="8" spans="1:10" s="7" customFormat="1" ht="15" customHeight="1">
      <c r="A8" s="12"/>
      <c r="B8" s="12"/>
      <c r="C8" s="13"/>
      <c r="D8" s="13"/>
      <c r="E8" s="14"/>
      <c r="F8" s="14"/>
      <c r="G8" s="15"/>
      <c r="H8" s="15"/>
      <c r="I8" s="16"/>
      <c r="J8" s="16"/>
    </row>
  </sheetData>
  <mergeCells count="12">
    <mergeCell ref="A1:J3"/>
    <mergeCell ref="A4:J5"/>
    <mergeCell ref="A7:B8"/>
    <mergeCell ref="C7:D8"/>
    <mergeCell ref="E7:F8"/>
    <mergeCell ref="G7:H8"/>
    <mergeCell ref="I7:J8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2026-07-23T20:31:39Z</dcterms:created>
  <dcterms:modified xsi:type="dcterms:W3CDTF">2026-07-24T20:57:45Z</dcterms:modified>
  <cp:category/>
  <cp:contentStatus/>
</cp:coreProperties>
</file>